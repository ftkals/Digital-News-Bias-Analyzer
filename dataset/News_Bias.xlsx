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Headline_Master" sheetId="2" r:id="rId5"/>
    <sheet state="visible" name="Source_Metadata" sheetId="3" r:id="rId6"/>
    <sheet state="visible" name="Pivot Table 1" sheetId="4" r:id="rId7"/>
  </sheets>
  <definedNames>
    <definedName hidden="1" localSheetId="1" name="_xlnm._FilterDatabase">Headline_Master!$A$1:$H$61</definedName>
  </definedNames>
  <calcPr/>
  <pivotCaches>
    <pivotCache cacheId="0" r:id="rId8"/>
  </pivotCaches>
  <extLst>
    <ext uri="GoogleSheetsCustomDataVersion2">
      <go:sheetsCustomData xmlns:go="http://customooxmlschemas.google.com/" r:id="rId9" roundtripDataChecksum="kA0muljFfiPwxmWBVqrEFUnY/N28YH6TLehF3s3guu4="/>
    </ext>
  </extLst>
</workbook>
</file>

<file path=xl/sharedStrings.xml><?xml version="1.0" encoding="utf-8"?>
<sst xmlns="http://schemas.openxmlformats.org/spreadsheetml/2006/main" count="293" uniqueCount="163">
  <si>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</si>
  <si>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</si>
  <si>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</si>
  <si>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</si>
  <si>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Headline_Master</t>
  </si>
  <si>
    <t>Table 1</t>
  </si>
  <si>
    <t>Source_Metadata</t>
  </si>
  <si>
    <t>Headline_ID</t>
  </si>
  <si>
    <t>Source_Name</t>
  </si>
  <si>
    <t>Date</t>
  </si>
  <si>
    <t>Headline_Text</t>
  </si>
  <si>
    <t>Category</t>
  </si>
  <si>
    <t>Engagement_Count</t>
  </si>
  <si>
    <t>Source_Trust_Score</t>
  </si>
  <si>
    <t>Viral_Status</t>
  </si>
  <si>
    <t>Headline_Length</t>
  </si>
  <si>
    <t>Impact_Score</t>
  </si>
  <si>
    <t>Reach_Percentage</t>
  </si>
  <si>
    <t>Reliability_Check</t>
  </si>
  <si>
    <t>H-001</t>
  </si>
  <si>
    <t>TechCrunch</t>
  </si>
  <si>
    <t>xAI Lays Out Interplanetary Ambitions in Public All-Hands Meeting</t>
  </si>
  <si>
    <t>Technology</t>
  </si>
  <si>
    <t>H-002</t>
  </si>
  <si>
    <t>AI Inference Startup Modal Labs in Talks to Raise at $2.5B Valuation</t>
  </si>
  <si>
    <t>H-003</t>
  </si>
  <si>
    <t>OpenAI Disbands Mission Alignment Team Which Focused on Safe and Trustworthy AI Development</t>
  </si>
  <si>
    <t>H-004</t>
  </si>
  <si>
    <t>Apple's Siri Revamp Reportedly Delayed Again as Internal Timelines Slip</t>
  </si>
  <si>
    <t>H-005</t>
  </si>
  <si>
    <t>Uber Eats Launches AI Assistant to Help Users Build Grocery Carts Automatically</t>
  </si>
  <si>
    <t>H-006</t>
  </si>
  <si>
    <t>Microsoft Says Hackers Are Exploiting Critical Zero-Day Bugs to Target Windows and Office Users</t>
  </si>
  <si>
    <t>H-007</t>
  </si>
  <si>
    <t>Amazon Acquires Satellite Operator Globalstar for $11.57 Billion to Expand Project Kuiper</t>
  </si>
  <si>
    <t>H-008</t>
  </si>
  <si>
    <t>Blue Origin's New Glenn Rocket Successfully Reuses First-Stage Booster for First Time</t>
  </si>
  <si>
    <t>H-009</t>
  </si>
  <si>
    <t>Palantir CEO's Culture War Post Puts Company's Identity at Center of Defense Tech Debate</t>
  </si>
  <si>
    <t>H-010</t>
  </si>
  <si>
    <t>DOJ Says Trenchant Boss Sold Exploits to Russian Broker Capable of Accessing Millions of Devices</t>
  </si>
  <si>
    <t>H-011</t>
  </si>
  <si>
    <t>Why the Economics of Orbital AI Are So Brutal for Startups Chasing Space Infrastructure</t>
  </si>
  <si>
    <t>H-012</t>
  </si>
  <si>
    <t>Wired</t>
  </si>
  <si>
    <t>Anthropic Introduces Claude Managed Agents for Deploying Autonomous AI in Production Environments</t>
  </si>
  <si>
    <t>H-013</t>
  </si>
  <si>
    <t>U.S. Energy Information Administration Prepares First Mandatory National Survey on Data-Center Power Use</t>
  </si>
  <si>
    <t>H-014</t>
  </si>
  <si>
    <t>China's Investigation into Manus AI Sale to Meta Casts Shadow Over Cross-Border Tech Dealmaking</t>
  </si>
  <si>
    <t>H-015</t>
  </si>
  <si>
    <t>ASML Raises 2026 Outlook as Semiconductor Customers Accelerate AI Expansion Plans</t>
  </si>
  <si>
    <t>H-016</t>
  </si>
  <si>
    <t>AI Systems Now Find Software Vulnerabilities Faster Than Human Security Experts Can Patch Them</t>
  </si>
  <si>
    <t>H-017</t>
  </si>
  <si>
    <t>Razer's Project AVA Evolves from Esports Coach into Full Holographic AI Desk Companion</t>
  </si>
  <si>
    <t>H-018</t>
  </si>
  <si>
    <t>Activist Groups in 24 States Protest AI Data Center Expansion Over Energy, Water, and Noise Concerns</t>
  </si>
  <si>
    <t>H-019</t>
  </si>
  <si>
    <t>Meta Advances Consumer AR Glasses Alongside Custom Silicon Push to Reduce Dependence on Nvidia</t>
  </si>
  <si>
    <t>H-020</t>
  </si>
  <si>
    <t>Researchers Unveil Microbial Fuel Cell That Harvests Electricity Directly from Soil Bacteria</t>
  </si>
  <si>
    <t>H-021</t>
  </si>
  <si>
    <t>Reuters</t>
  </si>
  <si>
    <t>Samsung Forecasts Record Profit Surge as AI-Driven Chip Prices Soar Into 2026</t>
  </si>
  <si>
    <t>Finance</t>
  </si>
  <si>
    <t>H-022</t>
  </si>
  <si>
    <t>Gold Prices Fall as Bloomberg Commodity Index Annual Rebalancing Sparks Broad Selling Pressure</t>
  </si>
  <si>
    <t>H-023</t>
  </si>
  <si>
    <t>Reserve Bank of India Mulls Fresh Steps to Shield Exporters Amid Escalating U.S. Tariff Pressure</t>
  </si>
  <si>
    <t>H-024</t>
  </si>
  <si>
    <t>Bain Capital's Plan to Acquire Manappuram Finance Stalls as RBI Raises Regulatory Concerns</t>
  </si>
  <si>
    <t>H-025</t>
  </si>
  <si>
    <t>SEC</t>
  </si>
  <si>
    <t>SEC Division of Examinations Releases 2026 Annual Priorities Covering AI, Crypto, and Private Funds</t>
  </si>
  <si>
    <t>H-026</t>
  </si>
  <si>
    <t>SEC Commissioner Uyeda Signals Innovation-Forward Regulatory Agenda for Investment Advisers</t>
  </si>
  <si>
    <t>H-027</t>
  </si>
  <si>
    <t>SEC Commissioner Peirce Outlines New Digital Asset Framework in Landmark Policy Speech</t>
  </si>
  <si>
    <t>H-028</t>
  </si>
  <si>
    <t>OpenAI Signals Retail-Friendly IPO Structure That Could Reshape How Everyday Investors Access AI Gains</t>
  </si>
  <si>
    <t>H-029</t>
  </si>
  <si>
    <t>Amazon's AI Revenue Quietly Confirmed as a Multi-Billion Dollar Engine Inside AWS Business</t>
  </si>
  <si>
    <t>H-030</t>
  </si>
  <si>
    <t>McKinsey</t>
  </si>
  <si>
    <t>Crisil Acquires McKinsey's PriceMetrix to Expand Wealth Management Analytics and Benchmarking Capabilities</t>
  </si>
  <si>
    <t>H-031</t>
  </si>
  <si>
    <t>Despite Heavy Investment, Enterprises Are Still Searching for Scalable AI-Driven Value in 2026</t>
  </si>
  <si>
    <t>H-032</t>
  </si>
  <si>
    <t>WPP Enters High-Stakes Reset as Shareholder Anger Mounts and Havas-Led Takeover Bid Emerges</t>
  </si>
  <si>
    <t>H-033</t>
  </si>
  <si>
    <t>San Francisco Private Equity Firm Pays $11.4 Million to Settle Violations Tied to Sanctioned Russian Oligarch</t>
  </si>
  <si>
    <t>H-034</t>
  </si>
  <si>
    <t>EU Bans Short-Term LNG Pipeline Contracts from April 2026 as Energy Independence Rules Take Effect</t>
  </si>
  <si>
    <t>H-035</t>
  </si>
  <si>
    <t>McKinsey Report: Companies Must Prioritize AI Governance Frameworks to Unlock Returns at Scale</t>
  </si>
  <si>
    <t>H-036</t>
  </si>
  <si>
    <t>Average 2026 Gold Price Forecast Cut to $4,587 Per Ounce Amid Currency and Geopolitical Uncertainty</t>
  </si>
  <si>
    <t>H-037</t>
  </si>
  <si>
    <t>Freddie Mac Survey Shows 30-Year Fixed Mortgage Rate Climbs Amid Persistent Inflationary Pressure</t>
  </si>
  <si>
    <t>H-038</t>
  </si>
  <si>
    <t>SEC 2026 Exam Priorities Spotlight Use of AI Tools Inside Investment Management and Hedge Fund Operations</t>
  </si>
  <si>
    <t>H-039</t>
  </si>
  <si>
    <t>Global Gold Sector Faces Structural Scarcity in 2026 as Geological Complexity and Mining Costs Rise</t>
  </si>
  <si>
    <t>H-040</t>
  </si>
  <si>
    <t>U.S. Open to Limited Chinese Presence in Venezuela but Draws a Hard Line at Control of Oil Infrastructure</t>
  </si>
  <si>
    <t>H-041</t>
  </si>
  <si>
    <t>European Commission</t>
  </si>
  <si>
    <t>European Commission 2026 Work Programme Outlines Bold Actions to Build a More Sovereign and Independent Europe</t>
  </si>
  <si>
    <t>Global Politics</t>
  </si>
  <si>
    <t>H-042</t>
  </si>
  <si>
    <t>EU Immunization Week 2026: Three Countries Reach 90% HPV Vaccination Target, New Report Confirms</t>
  </si>
  <si>
    <t>H-043</t>
  </si>
  <si>
    <t>Parliament and Council Reach Landmark Agreement on Major EU Customs Code Reform Targeting E-Commerce Safety</t>
  </si>
  <si>
    <t>H-044</t>
  </si>
  <si>
    <t>European Parliament President Metsola Meets Gulf Cooperation Council Secretary General in Brussels Summit</t>
  </si>
  <si>
    <t>H-045</t>
  </si>
  <si>
    <t>EU-UK Forum: President Metsola Addresses Summit as Post-Brexit Relations Enter New Cooperative Phase</t>
  </si>
  <si>
    <t>H-046</t>
  </si>
  <si>
    <t>EU Marks 75 Years Since Treaty of Paris Establishing the European Coal and Steel Community</t>
  </si>
  <si>
    <t>H-047</t>
  </si>
  <si>
    <t>European Commission's Proposed Biotech Act Aims to Fast-Track Breakthrough Therapies to Market</t>
  </si>
  <si>
    <t>H-048</t>
  </si>
  <si>
    <t>Commission Launches Global Health Resilience Initiative to Strengthen International Pandemic Preparedness</t>
  </si>
  <si>
    <t>H-049</t>
  </si>
  <si>
    <t>ETS2 Frontloading Facility Approved by European Investment Bank to Support Clean Energy Transition</t>
  </si>
  <si>
    <t>H-050</t>
  </si>
  <si>
    <t>New EU Political Advertising Transparency Rules Now Fully Effective Across All 27 Member States</t>
  </si>
  <si>
    <t>H-051</t>
  </si>
  <si>
    <t>BBC</t>
  </si>
  <si>
    <t>Iran Supreme Leader Warns Protesters as Internet Blackout and Phone Line Cuts Isolate Nation</t>
  </si>
  <si>
    <t>H-052</t>
  </si>
  <si>
    <t>US Tariff Threats Escalate Pressure on India as Bilateral Trade Negotiations Continue to Stall</t>
  </si>
  <si>
    <t>H-053</t>
  </si>
  <si>
    <t>Tesla Developing All-New Smaller and Cheaper Electric SUV to Compete in the Budget EV Segment</t>
  </si>
  <si>
    <t>H-054</t>
  </si>
  <si>
    <t>New York Arena Owner Used Facial Recognition to Identify and Silence Critics, Investigation Reveals</t>
  </si>
  <si>
    <t>H-055</t>
  </si>
  <si>
    <t>EU Regulators Admit They Are Unsure How to Govern AI That Identifies Security Flaws Faster Than Humans</t>
  </si>
  <si>
    <t>H-056</t>
  </si>
  <si>
    <t>Public Trust in AI Continues Declining as Communities Push Back Against New Data Center Approvals</t>
  </si>
  <si>
    <t>H-057</t>
  </si>
  <si>
    <t>Commission Presents Strategy to Secure Europe's Competitive Edge in Global Clean Energy Markets</t>
  </si>
  <si>
    <t>H-058</t>
  </si>
  <si>
    <t>Scientists in China Engineer Bioluminescent Plants, Blurring the Boundary Between Biology and Technology</t>
  </si>
  <si>
    <t>H-059</t>
  </si>
  <si>
    <t>Telegram KYC Exploit Markets Emerge as Major Threat to Digitized Global Financial Services</t>
  </si>
  <si>
    <t>H-060</t>
  </si>
  <si>
    <t>EU Bans All Short-Term LNG and Pipeline Gas Contracts as Europe Accelerates Energy Independence Drive</t>
  </si>
  <si>
    <t>Region</t>
  </si>
  <si>
    <t>Trust_Score</t>
  </si>
  <si>
    <t>Media_Type</t>
  </si>
  <si>
    <t>USA</t>
  </si>
  <si>
    <t>Digital Media</t>
  </si>
  <si>
    <t>Global</t>
  </si>
  <si>
    <t>News Agency</t>
  </si>
  <si>
    <t>Government</t>
  </si>
  <si>
    <t>Research / Consulting</t>
  </si>
  <si>
    <t>UK</t>
  </si>
  <si>
    <t>Public Broadcaster</t>
  </si>
  <si>
    <t>EU</t>
  </si>
  <si>
    <t>AVERAGE of Engagement_Count</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</si>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</sst>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quot; &quot;d&quot;, &quot;yyyy"/>
  </numFmts>
  <fonts count="11">
    <font>
      <sz val="11.0"/>
      <color rgb="FF000000"/>
      <name val="Calibri"/>
      <scheme val="minor"/>
    </font>
    <font>
      <sz val="12.0"/>
      <color rgb="FF000000"/>
      <name val="Calibri"/>
    </font>
    <font>
      <sz val="14.0"/>
      <color rgb="FF000000"/>
      <name val="Calibri"/>
    </font>
    <font>
      <u/>
      <sz val="12.0"/>
      <color rgb="FF0000FF"/>
      <name val="Calibri"/>
    </font>
    <font>
      <sz val="11.0"/>
      <color rgb="FFFFFFFF"/>
      <name val="Arial"/>
    </font>
    <font>
      <sz val="11.0"/>
      <color rgb="FF000000"/>
      <name val="Calibri"/>
    </font>
    <font>
      <sz val="10.0"/>
      <color rgb="FF1F3864"/>
      <name val="Arial"/>
    </font>
    <font>
      <sz val="10.0"/>
      <color rgb="FF000000"/>
      <name val="Arial"/>
    </font>
    <font>
      <sz val="10.0"/>
      <color rgb="FF0000FF"/>
      <name val="Arial"/>
    </font>
    <font>
      <color theme="1"/>
      <name val="Calibri"/>
      <scheme val="minor"/>
    </font>
    <font>
      <sz val="9.0"/>
      <color rgb="FF595959"/>
      <name val="Arial"/>
    </font>
  </fonts>
  <fills count="8">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665081"/>
        <bgColor rgb="FF665081"/>
      </patternFill>
    </fill>
    <fill>
      <patternFill patternType="solid">
        <fgColor rgb="FFFFFFFF"/>
        <bgColor rgb="FFFFFFFF"/>
      </patternFill>
    </fill>
    <fill>
      <patternFill patternType="solid">
        <fgColor rgb="FF1F3864"/>
        <bgColor rgb="FF1F3864"/>
      </patternFill>
    </fill>
    <fill>
      <patternFill patternType="solid">
        <fgColor rgb="FFDCE6F1"/>
        <bgColor rgb="FFDCE6F1"/>
      </patternFill>
    </fill>
  </fills>
  <borders count="7">
    <border/>
    <border>
      <left/>
      <right/>
      <top/>
      <bottom/>
    </border>
    <border>
      <left style="thin">
        <color rgb="FFD9D9D9"/>
      </left>
      <right style="thin">
        <color rgb="FFD9D9D9"/>
      </right>
      <top style="thin">
        <color rgb="FFD9D9D9"/>
      </top>
      <bottom style="thin">
        <color rgb="FFD9D9D9"/>
      </bottom>
    </border>
    <border>
      <left style="thin">
        <color rgb="FFBFBFBF"/>
      </left>
      <right style="thin">
        <color rgb="FFBFBFBF"/>
      </right>
      <top style="thin">
        <color rgb="FFBFBFBF"/>
      </top>
      <bottom style="thin">
        <color rgb="FFBFBFBF"/>
      </bottom>
    </border>
    <border>
      <left style="thin">
        <color rgb="FFBFBFBF"/>
      </left>
      <right style="thin">
        <color rgb="FFAAAAAA"/>
      </right>
      <top style="thin">
        <color rgb="FFAAAAAA"/>
      </top>
      <bottom style="thin">
        <color rgb="FFAAAAAA"/>
      </bottom>
    </border>
    <border>
      <left style="thin">
        <color rgb="FFAAAAAA"/>
      </left>
      <right style="thin">
        <color rgb="FFAAAAAA"/>
      </right>
      <top style="thin">
        <color rgb="FFBFBFBF"/>
      </top>
      <bottom style="thin">
        <color rgb="FFAAAAAA"/>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4" fontId="4" numFmtId="49" xfId="0" applyAlignment="1" applyBorder="1" applyFill="1" applyFont="1" applyNumberFormat="1">
      <alignment horizontal="center" shrinkToFit="0" vertical="center" wrapText="1"/>
    </xf>
    <xf borderId="2" fillId="4" fontId="4" numFmtId="0" xfId="0" applyAlignment="1" applyBorder="1" applyFont="1">
      <alignment horizontal="center" readingOrder="0" shrinkToFit="0" vertical="bottom" wrapText="1"/>
    </xf>
    <xf borderId="2" fillId="0" fontId="5" numFmtId="0" xfId="0" applyAlignment="1" applyBorder="1" applyFont="1">
      <alignment vertical="bottom"/>
    </xf>
    <xf borderId="2" fillId="5" fontId="6" numFmtId="49" xfId="0" applyAlignment="1" applyBorder="1" applyFill="1" applyFont="1" applyNumberFormat="1">
      <alignment horizontal="center" shrinkToFit="0" vertical="center" wrapText="1"/>
    </xf>
    <xf borderId="2" fillId="5" fontId="7" numFmtId="49" xfId="0" applyAlignment="1" applyBorder="1" applyFont="1" applyNumberFormat="1">
      <alignment horizontal="left" shrinkToFit="0" vertical="center" wrapText="1"/>
    </xf>
    <xf borderId="2" fillId="5" fontId="7" numFmtId="164" xfId="0" applyAlignment="1" applyBorder="1" applyFont="1" applyNumberFormat="1">
      <alignment horizontal="center" shrinkToFit="0" vertical="center" wrapText="1"/>
    </xf>
    <xf borderId="2" fillId="5" fontId="7" numFmtId="49" xfId="0" applyAlignment="1" applyBorder="1" applyFont="1" applyNumberFormat="1">
      <alignment horizontal="center" shrinkToFit="0" vertical="center" wrapText="1"/>
    </xf>
    <xf borderId="2" fillId="5" fontId="8" numFmtId="3" xfId="0" applyAlignment="1" applyBorder="1" applyFont="1" applyNumberFormat="1">
      <alignment horizontal="center" vertical="center"/>
    </xf>
    <xf borderId="2" fillId="5" fontId="7" numFmtId="1" xfId="0" applyAlignment="1" applyBorder="1" applyFont="1" applyNumberFormat="1">
      <alignment horizontal="center" vertical="center"/>
    </xf>
    <xf borderId="2" fillId="5" fontId="7" numFmtId="49" xfId="0" applyAlignment="1" applyBorder="1" applyFont="1" applyNumberFormat="1">
      <alignment horizontal="center" vertical="center"/>
    </xf>
    <xf borderId="2" fillId="0" fontId="9" numFmtId="0" xfId="0" applyAlignment="1" applyBorder="1" applyFont="1">
      <alignment horizontal="center" readingOrder="0" shrinkToFit="0" wrapText="1"/>
    </xf>
    <xf borderId="2" fillId="0" fontId="9" numFmtId="0" xfId="0" applyAlignment="1" applyBorder="1" applyFont="1">
      <alignment horizontal="center" shrinkToFit="0" wrapText="1"/>
    </xf>
    <xf borderId="2" fillId="0" fontId="5" numFmtId="0" xfId="0" applyAlignment="1" applyBorder="1" applyFont="1">
      <alignment horizontal="center" shrinkToFit="0" vertical="bottom" wrapText="1"/>
    </xf>
    <xf borderId="2" fillId="5" fontId="5" numFmtId="0" xfId="0" applyAlignment="1" applyBorder="1" applyFont="1">
      <alignment vertical="bottom"/>
    </xf>
    <xf borderId="2" fillId="5" fontId="4" numFmtId="49" xfId="0" applyAlignment="1" applyBorder="1" applyFont="1" applyNumberFormat="1">
      <alignment vertical="bottom"/>
    </xf>
    <xf borderId="2" fillId="5" fontId="7" numFmtId="49" xfId="0" applyAlignment="1" applyBorder="1" applyFont="1" applyNumberFormat="1">
      <alignment vertical="bottom"/>
    </xf>
    <xf borderId="2" fillId="5" fontId="7" numFmtId="1" xfId="0" applyAlignment="1" applyBorder="1" applyFont="1" applyNumberFormat="1">
      <alignment vertical="bottom"/>
    </xf>
    <xf borderId="2" fillId="5" fontId="10" numFmtId="0" xfId="0" applyAlignment="1" applyBorder="1" applyFont="1">
      <alignment vertical="bottom"/>
    </xf>
    <xf borderId="3" fillId="6" fontId="4" numFmtId="49" xfId="0" applyAlignment="1" applyBorder="1" applyFill="1" applyFont="1" applyNumberFormat="1">
      <alignment horizontal="center" shrinkToFit="0" vertical="center" wrapText="1"/>
    </xf>
    <xf borderId="4" fillId="0" fontId="5" numFmtId="0" xfId="0" applyAlignment="1" applyBorder="1" applyFont="1">
      <alignment vertical="bottom"/>
    </xf>
    <xf borderId="0" fillId="0" fontId="5" numFmtId="0" xfId="0" applyAlignment="1" applyFont="1">
      <alignment vertical="bottom"/>
    </xf>
    <xf borderId="3" fillId="7" fontId="7" numFmtId="49" xfId="0" applyAlignment="1" applyBorder="1" applyFill="1" applyFont="1" applyNumberFormat="1">
      <alignment horizontal="left" shrinkToFit="0" vertical="center" wrapText="1"/>
    </xf>
    <xf borderId="3" fillId="7" fontId="7" numFmtId="49" xfId="0" applyAlignment="1" applyBorder="1" applyFont="1" applyNumberFormat="1">
      <alignment horizontal="center" shrinkToFit="0" vertical="center" wrapText="1"/>
    </xf>
    <xf borderId="3" fillId="7" fontId="7" numFmtId="1" xfId="0" applyAlignment="1" applyBorder="1" applyFont="1" applyNumberFormat="1">
      <alignment horizontal="center" shrinkToFit="0" vertical="center" wrapText="1"/>
    </xf>
    <xf borderId="3" fillId="5" fontId="7" numFmtId="49" xfId="0" applyAlignment="1" applyBorder="1" applyFont="1" applyNumberFormat="1">
      <alignment horizontal="left" shrinkToFit="0" vertical="center" wrapText="1"/>
    </xf>
    <xf borderId="3" fillId="5" fontId="7" numFmtId="49" xfId="0" applyAlignment="1" applyBorder="1" applyFont="1" applyNumberFormat="1">
      <alignment horizontal="center" shrinkToFit="0" vertical="center" wrapText="1"/>
    </xf>
    <xf borderId="3" fillId="5" fontId="7" numFmtId="1" xfId="0" applyAlignment="1" applyBorder="1" applyFont="1" applyNumberFormat="1">
      <alignment horizontal="center" shrinkToFit="0" vertical="center" wrapText="1"/>
    </xf>
    <xf borderId="5" fillId="5" fontId="5" numFmtId="0" xfId="0" applyAlignment="1" applyBorder="1" applyFont="1">
      <alignment vertical="bottom"/>
    </xf>
    <xf borderId="6" fillId="0" fontId="5" numFmtId="0" xfId="0" applyAlignment="1" applyBorder="1" applyFont="1">
      <alignment vertical="bottom"/>
    </xf>
    <xf borderId="6" fillId="5" fontId="5" numFmtId="0" xfId="0" applyAlignment="1" applyBorder="1" applyFont="1">
      <alignment vertical="bottom"/>
    </xf>
    <xf borderId="0" fillId="0" fontId="9" numFmtId="49" xfId="0" applyFont="1" applyNumberFormat="1"/>
    <xf borderId="0" fillId="0" fontId="9" numFmtId="0" xfId="0" applyFont="1"/>
    <xf borderId="0" fillId="0" fontId="9"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Engagement per News Category</a:t>
            </a:r>
          </a:p>
        </c:rich>
      </c:tx>
      <c:overlay val="0"/>
    </c:title>
    <c:plotArea>
      <c:layout/>
      <c:barChart>
        <c:barDir val="col"/>
        <c:ser>
          <c:idx val="0"/>
          <c:order val="0"/>
          <c:tx>
            <c:strRef>
              <c:f>Headline_Master!$F$1</c:f>
            </c:strRef>
          </c:tx>
          <c:spPr>
            <a:solidFill>
              <a:schemeClr val="accent1"/>
            </a:solidFill>
            <a:ln cmpd="sng">
              <a:solidFill>
                <a:srgbClr val="000000"/>
              </a:solidFill>
            </a:ln>
          </c:spPr>
          <c:cat>
            <c:strRef>
              <c:f>Headline_Master!$E$2:$E$61</c:f>
            </c:strRef>
          </c:cat>
          <c:val>
            <c:numRef>
              <c:f>Headline_Master!$F$2:$F$61</c:f>
              <c:numCache/>
            </c:numRef>
          </c:val>
        </c:ser>
        <c:axId val="401560864"/>
        <c:axId val="162693406"/>
      </c:barChart>
      <c:catAx>
        <c:axId val="4015608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2693406"/>
      </c:catAx>
      <c:valAx>
        <c:axId val="1626934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156086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Correlation: Headline Length vs. Reach</a:t>
            </a:r>
          </a:p>
        </c:rich>
      </c:tx>
      <c:overlay val="0"/>
    </c:title>
    <c:plotArea>
      <c:layout/>
      <c:scatterChart>
        <c:scatterStyle val="lineMarker"/>
        <c:varyColors val="0"/>
        <c:ser>
          <c:idx val="0"/>
          <c:order val="0"/>
          <c:tx>
            <c:strRef>
              <c:f>Headline_Master!$I$1</c:f>
            </c:strRef>
          </c:tx>
          <c:spPr>
            <a:ln>
              <a:noFill/>
            </a:ln>
          </c:spPr>
          <c:marker>
            <c:symbol val="circle"/>
            <c:size val="7"/>
            <c:spPr>
              <a:solidFill>
                <a:schemeClr val="accent1"/>
              </a:solidFill>
              <a:ln cmpd="sng">
                <a:solidFill>
                  <a:schemeClr val="accent1"/>
                </a:solidFill>
              </a:ln>
            </c:spPr>
          </c:marker>
          <c:xVal>
            <c:numRef>
              <c:f>Headline_Master!$F$2:$F$61</c:f>
            </c:numRef>
          </c:xVal>
          <c:yVal>
            <c:numRef>
              <c:f>Headline_Master!$I$2:$I$61</c:f>
              <c:numCache/>
            </c:numRef>
          </c:yVal>
        </c:ser>
        <c:dLbls>
          <c:showLegendKey val="0"/>
          <c:showVal val="0"/>
          <c:showCatName val="0"/>
          <c:showSerName val="0"/>
          <c:showPercent val="0"/>
          <c:showBubbleSize val="0"/>
        </c:dLbls>
        <c:axId val="1534137294"/>
        <c:axId val="1151789539"/>
      </c:scatterChart>
      <c:valAx>
        <c:axId val="153413729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Engagement_Count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1789539"/>
      </c:valAx>
      <c:valAx>
        <c:axId val="11517895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Headline_Length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4137294"/>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64</xdr:row>
      <xdr:rowOff>19050</xdr:rowOff>
    </xdr:from>
    <xdr:ext cx="5715000" cy="3533775"/>
    <xdr:graphicFrame>
      <xdr:nvGraphicFramePr>
        <xdr:cNvPr id="1492300085"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1190625</xdr:colOff>
      <xdr:row>64</xdr:row>
      <xdr:rowOff>19050</xdr:rowOff>
    </xdr:from>
    <xdr:ext cx="5715000" cy="3533775"/>
    <xdr:graphicFrame>
      <xdr:nvGraphicFramePr>
        <xdr:cNvPr id="44844104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3009900</xdr:colOff>
      <xdr:row>83</xdr:row>
      <xdr:rowOff>47625</xdr:rowOff>
    </xdr:from>
    <xdr:ext cx="5715000" cy="3533775"/>
    <xdr:pic>
      <xdr:nvPicPr>
        <xdr:cNvPr id="1266618514"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61" sheet="Headline_Master"/>
  </cacheSource>
  <cacheFields>
    <cacheField name="Headline_ID" numFmtId="49">
      <sharedItems>
        <s v="H-001"/>
        <s v="H-002"/>
        <s v="H-003"/>
        <s v="H-004"/>
        <s v="H-005"/>
        <s v="H-006"/>
        <s v="H-007"/>
        <s v="H-008"/>
        <s v="H-009"/>
        <s v="H-010"/>
        <s v="H-011"/>
        <s v="H-012"/>
        <s v="H-013"/>
        <s v="H-014"/>
        <s v="H-015"/>
        <s v="H-016"/>
        <s v="H-017"/>
        <s v="H-018"/>
        <s v="H-019"/>
        <s v="H-020"/>
        <s v="H-021"/>
        <s v="H-022"/>
        <s v="H-023"/>
        <s v="H-024"/>
        <s v="H-025"/>
        <s v="H-026"/>
        <s v="H-027"/>
        <s v="H-028"/>
        <s v="H-029"/>
        <s v="H-030"/>
        <s v="H-031"/>
        <s v="H-032"/>
        <s v="H-033"/>
        <s v="H-034"/>
        <s v="H-035"/>
        <s v="H-036"/>
        <s v="H-037"/>
        <s v="H-038"/>
        <s v="H-039"/>
        <s v="H-040"/>
        <s v="H-041"/>
        <s v="H-042"/>
        <s v="H-043"/>
        <s v="H-044"/>
        <s v="H-045"/>
        <s v="H-046"/>
        <s v="H-047"/>
        <s v="H-048"/>
        <s v="H-049"/>
        <s v="H-050"/>
        <s v="H-051"/>
        <s v="H-052"/>
        <s v="H-053"/>
        <s v="H-054"/>
        <s v="H-055"/>
        <s v="H-056"/>
        <s v="H-057"/>
        <s v="H-058"/>
        <s v="H-059"/>
        <s v="H-060"/>
      </sharedItems>
    </cacheField>
    <cacheField name="Source_Name" numFmtId="49">
      <sharedItems>
        <s v="TechCrunch"/>
        <s v="Wired"/>
        <s v="Reuters"/>
        <s v="SEC"/>
        <s v="McKinsey"/>
        <s v="European Commission"/>
        <s v="BBC"/>
      </sharedItems>
    </cacheField>
    <cacheField name="Date" numFmtId="164">
      <sharedItems containsSemiMixedTypes="0" containsDate="1" containsString="0">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6T00:00:00Z"/>
        <d v="2026-03-17T00:00:00Z"/>
        <d v="2026-03-18T00:00:00Z"/>
        <d v="2026-03-19T00:00:00Z"/>
        <d v="2026-03-20T00:00:00Z"/>
        <d v="2026-03-21T00:00:00Z"/>
        <d v="2026-03-22T00:00:00Z"/>
        <d v="2026-03-23T00:00:00Z"/>
        <d v="2026-03-24T00:00:00Z"/>
        <d v="2026-03-25T00:00:00Z"/>
        <d v="2026-03-26T00:00:00Z"/>
        <d v="2026-03-27T00:00:00Z"/>
        <d v="2026-03-28T00:00:00Z"/>
        <d v="2026-03-29T00:00:00Z"/>
        <d v="2026-03-30T00:00:00Z"/>
        <d v="2026-03-31T00:00:00Z"/>
        <d v="2026-04-01T00:00:00Z"/>
        <d v="2026-04-02T00:00:00Z"/>
        <d v="2026-04-03T00:00:00Z"/>
        <d v="2026-04-04T00:00:00Z"/>
        <d v="2026-04-05T00:00:00Z"/>
        <d v="2026-04-06T00:00:00Z"/>
        <d v="2026-04-07T00:00:00Z"/>
        <d v="2026-04-08T00:00:00Z"/>
        <d v="2026-04-09T00:00:00Z"/>
        <d v="2026-04-10T00:00:00Z"/>
        <d v="2026-04-11T00:00:00Z"/>
      </sharedItems>
    </cacheField>
    <cacheField name="Headline_Text" numFmtId="49">
      <sharedItems>
        <s v="xAI Lays Out Interplanetary Ambitions in Public All-Hands Meeting"/>
        <s v="AI Inference Startup Modal Labs in Talks to Raise at $2.5B Valuation"/>
        <s v="OpenAI Disbands Mission Alignment Team Which Focused on Safe and Trustworthy AI Development"/>
        <s v="Apple's Siri Revamp Reportedly Delayed Again as Internal Timelines Slip"/>
        <s v="Uber Eats Launches AI Assistant to Help Users Build Grocery Carts Automatically"/>
        <s v="Microsoft Says Hackers Are Exploiting Critical Zero-Day Bugs to Target Windows and Office Users"/>
        <s v="Amazon Acquires Satellite Operator Globalstar for $11.57 Billion to Expand Project Kuiper"/>
        <s v="Blue Origin's New Glenn Rocket Successfully Reuses First-Stage Booster for First Time"/>
        <s v="Palantir CEO's Culture War Post Puts Company's Identity at Center of Defense Tech Debate"/>
        <s v="DOJ Says Trenchant Boss Sold Exploits to Russian Broker Capable of Accessing Millions of Devices"/>
        <s v="Why the Economics of Orbital AI Are So Brutal for Startups Chasing Space Infrastructure"/>
        <s v="Anthropic Introduces Claude Managed Agents for Deploying Autonomous AI in Production Environments"/>
        <s v="U.S. Energy Information Administration Prepares First Mandatory National Survey on Data-Center Power Use"/>
        <s v="China's Investigation into Manus AI Sale to Meta Casts Shadow Over Cross-Border Tech Dealmaking"/>
        <s v="ASML Raises 2026 Outlook as Semiconductor Customers Accelerate AI Expansion Plans"/>
        <s v="AI Systems Now Find Software Vulnerabilities Faster Than Human Security Experts Can Patch Them"/>
        <s v="Razer's Project AVA Evolves from Esports Coach into Full Holographic AI Desk Companion"/>
        <s v="Activist Groups in 24 States Protest AI Data Center Expansion Over Energy, Water, and Noise Concerns"/>
        <s v="Meta Advances Consumer AR Glasses Alongside Custom Silicon Push to Reduce Dependence on Nvidia"/>
        <s v="Researchers Unveil Microbial Fuel Cell That Harvests Electricity Directly from Soil Bacteria"/>
        <s v="Samsung Forecasts Record Profit Surge as AI-Driven Chip Prices Soar Into 2026"/>
        <s v="Gold Prices Fall as Bloomberg Commodity Index Annual Rebalancing Sparks Broad Selling Pressure"/>
        <s v="Reserve Bank of India Mulls Fresh Steps to Shield Exporters Amid Escalating U.S. Tariff Pressure"/>
        <s v="Bain Capital's Plan to Acquire Manappuram Finance Stalls as RBI Raises Regulatory Concerns"/>
        <s v="SEC Division of Examinations Releases 2026 Annual Priorities Covering AI, Crypto, and Private Funds"/>
        <s v="SEC Commissioner Uyeda Signals Innovation-Forward Regulatory Agenda for Investment Advisers"/>
        <s v="SEC Commissioner Peirce Outlines New Digital Asset Framework in Landmark Policy Speech"/>
        <s v="OpenAI Signals Retail-Friendly IPO Structure That Could Reshape How Everyday Investors Access AI Gains"/>
        <s v="Amazon's AI Revenue Quietly Confirmed as a Multi-Billion Dollar Engine Inside AWS Business"/>
        <s v="Crisil Acquires McKinsey's PriceMetrix to Expand Wealth Management Analytics and Benchmarking Capabilities"/>
        <s v="Despite Heavy Investment, Enterprises Are Still Searching for Scalable AI-Driven Value in 2026"/>
        <s v="WPP Enters High-Stakes Reset as Shareholder Anger Mounts and Havas-Led Takeover Bid Emerges"/>
        <s v="San Francisco Private Equity Firm Pays $11.4 Million to Settle Violations Tied to Sanctioned Russian Oligarch"/>
        <s v="EU Bans Short-Term LNG Pipeline Contracts from April 2026 as Energy Independence Rules Take Effect"/>
        <s v="McKinsey Report: Companies Must Prioritize AI Governance Frameworks to Unlock Returns at Scale"/>
        <s v="Average 2026 Gold Price Forecast Cut to $4,587 Per Ounce Amid Currency and Geopolitical Uncertainty"/>
        <s v="Freddie Mac Survey Shows 30-Year Fixed Mortgage Rate Climbs Amid Persistent Inflationary Pressure"/>
        <s v="SEC 2026 Exam Priorities Spotlight Use of AI Tools Inside Investment Management and Hedge Fund Operations"/>
        <s v="Global Gold Sector Faces Structural Scarcity in 2026 as Geological Complexity and Mining Costs Rise"/>
        <s v="U.S. Open to Limited Chinese Presence in Venezuela but Draws a Hard Line at Control of Oil Infrastructure"/>
        <s v="European Commission 2026 Work Programme Outlines Bold Actions to Build a More Sovereign and Independent Europe"/>
        <s v="EU Immunization Week 2026: Three Countries Reach 90% HPV Vaccination Target, New Report Confirms"/>
        <s v="Parliament and Council Reach Landmark Agreement on Major EU Customs Code Reform Targeting E-Commerce Safety"/>
        <s v="European Parliament President Metsola Meets Gulf Cooperation Council Secretary General in Brussels Summit"/>
        <s v="EU-UK Forum: President Metsola Addresses Summit as Post-Brexit Relations Enter New Cooperative Phase"/>
        <s v="EU Marks 75 Years Since Treaty of Paris Establishing the European Coal and Steel Community"/>
        <s v="European Commission's Proposed Biotech Act Aims to Fast-Track Breakthrough Therapies to Market"/>
        <s v="Commission Launches Global Health Resilience Initiative to Strengthen International Pandemic Preparedness"/>
        <s v="ETS2 Frontloading Facility Approved by European Investment Bank to Support Clean Energy Transition"/>
        <s v="New EU Political Advertising Transparency Rules Now Fully Effective Across All 27 Member States"/>
        <s v="Iran Supreme Leader Warns Protesters as Internet Blackout and Phone Line Cuts Isolate Nation"/>
        <s v="US Tariff Threats Escalate Pressure on India as Bilateral Trade Negotiations Continue to Stall"/>
        <s v="Tesla Developing All-New Smaller and Cheaper Electric SUV to Compete in the Budget EV Segment"/>
        <s v="New York Arena Owner Used Facial Recognition to Identify and Silence Critics, Investigation Reveals"/>
        <s v="EU Regulators Admit They Are Unsure How to Govern AI That Identifies Security Flaws Faster Than Humans"/>
        <s v="Public Trust in AI Continues Declining as Communities Push Back Against New Data Center Approvals"/>
        <s v="Commission Presents Strategy to Secure Europe's Competitive Edge in Global Clean Energy Markets"/>
        <s v="Scientists in China Engineer Bioluminescent Plants, Blurring the Boundary Between Biology and Technology"/>
        <s v="Telegram KYC Exploit Markets Emerge as Major Threat to Digitized Global Financial Services"/>
        <s v="EU Bans All Short-Term LNG and Pipeline Gas Contracts as Europe Accelerates Energy Independence Drive"/>
      </sharedItems>
    </cacheField>
    <cacheField name="Category" numFmtId="49">
      <sharedItems>
        <s v="Technology"/>
        <s v="Finance"/>
        <s v="Global Politics"/>
      </sharedItems>
    </cacheField>
    <cacheField name="Engagement_Count" numFmtId="3">
      <sharedItems containsSemiMixedTypes="0" containsString="0" containsNumber="1" containsInteger="1">
        <n v="556.0"/>
        <n v="202.0"/>
        <n v="1226.0"/>
        <n v="1103.0"/>
        <n v="1014.0"/>
        <n v="671.0"/>
        <n v="519.0"/>
        <n v="2333.0"/>
        <n v="456.0"/>
        <n v="1828.0"/>
        <n v="230.0"/>
        <n v="222.0"/>
        <n v="483.0"/>
        <n v="995.0"/>
        <n v="1052.0"/>
        <n v="2169.0"/>
        <n v="208.0"/>
        <n v="2398.0"/>
        <n v="914.0"/>
        <n v="2332.0"/>
        <n v="1818.0"/>
        <n v="1002.0"/>
        <n v="1939.0"/>
        <n v="1239.0"/>
        <n v="126.0"/>
        <n v="753.0"/>
        <n v="1831.0"/>
        <n v="1493.0"/>
        <n v="1238.0"/>
        <n v="736.0"/>
        <n v="981.0"/>
        <n v="1478.0"/>
        <n v="518.0"/>
        <n v="479.0"/>
        <n v="1656.0"/>
        <n v="496.0"/>
        <n v="1570.0"/>
        <n v="1508.0"/>
        <n v="1183.0"/>
        <n v="277.0"/>
        <n v="1981.0"/>
        <n v="2296.0"/>
        <n v="611.0"/>
        <n v="1650.0"/>
        <n v="422.0"/>
        <n v="2361.0"/>
        <n v="1300.0"/>
        <n v="1581.0"/>
        <n v="2464.0"/>
        <n v="887.0"/>
        <n v="384.0"/>
        <n v="287.0"/>
        <n v="1033.0"/>
        <n v="1285.0"/>
        <n v="426.0"/>
        <n v="1053.0"/>
        <n v="513.0"/>
        <n v="1957.0"/>
      </sharedItems>
    </cacheField>
    <cacheField name="Source_Trust_Score" numFmtId="1">
      <sharedItems containsSemiMixedTypes="0" containsString="0" containsNumber="1" containsInteger="1">
        <n v="8.0"/>
        <n v="9.0"/>
      </sharedItems>
    </cacheField>
    <cacheField name="Viral_Status" numFmtId="49">
      <sharedItems>
        <s v="Medium"/>
        <s v="Low"/>
        <s v="High"/>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5" firstHeaderRow="0" firstDataRow="1" firstDataCol="0"/>
  <pivotFields>
    <pivotField name="Headline_ID"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Source_Name" compact="0" numFmtId="49" outline="0" multipleItemSelectionAllowed="1" showAll="0">
      <items>
        <item x="0"/>
        <item x="1"/>
        <item x="2"/>
        <item x="3"/>
        <item x="4"/>
        <item x="5"/>
        <item x="6"/>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Headline_Text"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Category" axis="axisRow" compact="0" numFmtId="49" outline="0" multipleItemSelectionAllowed="1" showAll="0" sortType="ascending">
      <items>
        <item x="1"/>
        <item x="2"/>
        <item x="0"/>
        <item t="default"/>
      </items>
    </pivotField>
    <pivotField name="Engagement_Count"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Source_Trust_Score" compact="0" numFmtId="1" outline="0" multipleItemSelectionAllowed="1" showAll="0">
      <items>
        <item x="0"/>
        <item x="1"/>
        <item t="default"/>
      </items>
    </pivotField>
    <pivotField name="Viral_Status" compact="0" numFmtId="49" outline="0" multipleItemSelectionAllowed="1" showAll="0">
      <items>
        <item x="0"/>
        <item x="1"/>
        <item x="2"/>
        <item t="default"/>
      </items>
    </pivotField>
  </pivotFields>
  <rowFields>
    <field x="4"/>
  </rowFields>
  <dataFields>
    <dataField name="AVERAGE of Engagement_Count" fld="5"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2.0"/>
    <col customWidth="1" min="2" max="4" width="30.57"/>
    <col customWidth="1" min="5" max="26" width="10.0"/>
  </cols>
  <sheetData>
    <row r="1" ht="12.75" customHeight="1"/>
    <row r="2" ht="12.75" customHeight="1"/>
    <row r="3"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Headline_Master" location="Headline_Master!R1C1" ref="D10"/>
    <hyperlink display="Source_Metadata" location="Source_Metadata!R1C1" ref="D12"/>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22.0"/>
    <col customWidth="1" min="3" max="3" width="16.57"/>
    <col customWidth="1" min="4" max="4" width="72.0"/>
    <col customWidth="1" min="5" max="6" width="18.0"/>
    <col customWidth="1" min="7" max="7" width="20.0"/>
    <col customWidth="1" min="8" max="8" width="14.0"/>
    <col customWidth="1" min="9" max="9" width="15.57"/>
    <col customWidth="1" min="10" max="10" width="12.71"/>
    <col customWidth="1" min="11" max="11" width="16.86"/>
    <col customWidth="1" min="12" max="12" width="15.57"/>
    <col customWidth="1" min="13" max="26" width="8.71"/>
  </cols>
  <sheetData>
    <row r="1" ht="34.5" customHeight="1">
      <c r="A1" s="6" t="s">
        <v>7</v>
      </c>
      <c r="B1" s="6" t="s">
        <v>8</v>
      </c>
      <c r="C1" s="6" t="s">
        <v>9</v>
      </c>
      <c r="D1" s="6" t="s">
        <v>10</v>
      </c>
      <c r="E1" s="6" t="s">
        <v>11</v>
      </c>
      <c r="F1" s="6" t="s">
        <v>12</v>
      </c>
      <c r="G1" s="6" t="s">
        <v>13</v>
      </c>
      <c r="H1" s="6" t="s">
        <v>14</v>
      </c>
      <c r="I1" s="7" t="s">
        <v>15</v>
      </c>
      <c r="J1" s="7" t="s">
        <v>16</v>
      </c>
      <c r="K1" s="7" t="s">
        <v>17</v>
      </c>
      <c r="L1" s="7" t="s">
        <v>18</v>
      </c>
      <c r="M1" s="8"/>
      <c r="N1" s="8"/>
      <c r="O1" s="8"/>
      <c r="P1" s="8"/>
      <c r="Q1" s="8"/>
      <c r="R1" s="8"/>
      <c r="S1" s="8"/>
      <c r="T1" s="8"/>
      <c r="U1" s="8"/>
      <c r="V1" s="8"/>
      <c r="W1" s="8"/>
      <c r="X1" s="8"/>
      <c r="Y1" s="8"/>
      <c r="Z1" s="8"/>
    </row>
    <row r="2" ht="42.0" customHeight="1">
      <c r="A2" s="9" t="s">
        <v>19</v>
      </c>
      <c r="B2" s="10" t="s">
        <v>20</v>
      </c>
      <c r="C2" s="11">
        <v>46064.0</v>
      </c>
      <c r="D2" s="10" t="s">
        <v>21</v>
      </c>
      <c r="E2" s="12" t="s">
        <v>22</v>
      </c>
      <c r="F2" s="13">
        <v>556.0</v>
      </c>
      <c r="G2" s="14">
        <f>IFERROR(VLOOKUP(B2,Source_Metadata!$A$2:$C$8,3,FALSE),"")</f>
        <v>8</v>
      </c>
      <c r="H2" s="15" t="str">
        <f t="shared" ref="H2:H61" si="1">IF(F2&gt;1500,"High",IF(F2&gt;500,"Medium","Low"))</f>
        <v>Medium</v>
      </c>
      <c r="I2" s="16">
        <f t="shared" ref="I2:I61" si="2">LEN(D2)</f>
        <v>65</v>
      </c>
      <c r="J2" s="17">
        <f t="shared" ref="J2:J61" si="3">(F2 * G2)</f>
        <v>4448</v>
      </c>
      <c r="K2" s="18">
        <f t="shared" ref="K2:K61" si="4">(F2 / 2500)</f>
        <v>0.2224</v>
      </c>
      <c r="L2" s="18" t="str">
        <f t="shared" ref="L2:L61" si="5">IF(G2 &lt; 9, "Verify", "Trusted")</f>
        <v>Verify</v>
      </c>
      <c r="M2" s="8"/>
      <c r="N2" s="8"/>
      <c r="O2" s="8"/>
      <c r="P2" s="8"/>
      <c r="Q2" s="8"/>
      <c r="R2" s="8"/>
      <c r="S2" s="8"/>
      <c r="T2" s="8"/>
      <c r="U2" s="8"/>
      <c r="V2" s="8"/>
      <c r="W2" s="8"/>
      <c r="X2" s="8"/>
      <c r="Y2" s="8"/>
      <c r="Z2" s="8"/>
    </row>
    <row r="3" ht="42.0" customHeight="1">
      <c r="A3" s="9" t="s">
        <v>23</v>
      </c>
      <c r="B3" s="10" t="s">
        <v>20</v>
      </c>
      <c r="C3" s="11">
        <v>46065.0</v>
      </c>
      <c r="D3" s="10" t="s">
        <v>24</v>
      </c>
      <c r="E3" s="12" t="s">
        <v>22</v>
      </c>
      <c r="F3" s="13">
        <v>202.0</v>
      </c>
      <c r="G3" s="14">
        <f>IFERROR(VLOOKUP(B3,Source_Metadata!$A$2:$C$8,3,FALSE),"")</f>
        <v>8</v>
      </c>
      <c r="H3" s="15" t="str">
        <f t="shared" si="1"/>
        <v>Low</v>
      </c>
      <c r="I3" s="16">
        <f t="shared" si="2"/>
        <v>68</v>
      </c>
      <c r="J3" s="17">
        <f t="shared" si="3"/>
        <v>1616</v>
      </c>
      <c r="K3" s="18">
        <f t="shared" si="4"/>
        <v>0.0808</v>
      </c>
      <c r="L3" s="18" t="str">
        <f t="shared" si="5"/>
        <v>Verify</v>
      </c>
      <c r="M3" s="8"/>
      <c r="N3" s="8"/>
      <c r="O3" s="8"/>
      <c r="P3" s="8"/>
      <c r="Q3" s="8"/>
      <c r="R3" s="8"/>
      <c r="S3" s="8"/>
      <c r="T3" s="8"/>
      <c r="U3" s="8"/>
      <c r="V3" s="8"/>
      <c r="W3" s="8"/>
      <c r="X3" s="8"/>
      <c r="Y3" s="8"/>
      <c r="Z3" s="8"/>
    </row>
    <row r="4" ht="42.0" customHeight="1">
      <c r="A4" s="9" t="s">
        <v>25</v>
      </c>
      <c r="B4" s="10" t="s">
        <v>20</v>
      </c>
      <c r="C4" s="11">
        <v>46066.0</v>
      </c>
      <c r="D4" s="10" t="s">
        <v>26</v>
      </c>
      <c r="E4" s="12" t="s">
        <v>22</v>
      </c>
      <c r="F4" s="13">
        <v>1226.0</v>
      </c>
      <c r="G4" s="14">
        <f>IFERROR(VLOOKUP(B4,Source_Metadata!$A$2:$C$8,3,FALSE),"")</f>
        <v>8</v>
      </c>
      <c r="H4" s="15" t="str">
        <f t="shared" si="1"/>
        <v>Medium</v>
      </c>
      <c r="I4" s="16">
        <f t="shared" si="2"/>
        <v>91</v>
      </c>
      <c r="J4" s="17">
        <f t="shared" si="3"/>
        <v>9808</v>
      </c>
      <c r="K4" s="18">
        <f t="shared" si="4"/>
        <v>0.4904</v>
      </c>
      <c r="L4" s="18" t="str">
        <f t="shared" si="5"/>
        <v>Verify</v>
      </c>
      <c r="M4" s="8"/>
      <c r="N4" s="8"/>
      <c r="O4" s="8"/>
      <c r="P4" s="8"/>
      <c r="Q4" s="8"/>
      <c r="R4" s="8"/>
      <c r="S4" s="8"/>
      <c r="T4" s="8"/>
      <c r="U4" s="8"/>
      <c r="V4" s="8"/>
      <c r="W4" s="8"/>
      <c r="X4" s="8"/>
      <c r="Y4" s="8"/>
      <c r="Z4" s="8"/>
    </row>
    <row r="5" ht="42.0" customHeight="1">
      <c r="A5" s="9" t="s">
        <v>27</v>
      </c>
      <c r="B5" s="10" t="s">
        <v>20</v>
      </c>
      <c r="C5" s="11">
        <v>46067.0</v>
      </c>
      <c r="D5" s="10" t="s">
        <v>28</v>
      </c>
      <c r="E5" s="12" t="s">
        <v>22</v>
      </c>
      <c r="F5" s="13">
        <v>1103.0</v>
      </c>
      <c r="G5" s="14">
        <f>IFERROR(VLOOKUP(B5,Source_Metadata!$A$2:$C$8,3,FALSE),"")</f>
        <v>8</v>
      </c>
      <c r="H5" s="15" t="str">
        <f t="shared" si="1"/>
        <v>Medium</v>
      </c>
      <c r="I5" s="16">
        <f t="shared" si="2"/>
        <v>71</v>
      </c>
      <c r="J5" s="17">
        <f t="shared" si="3"/>
        <v>8824</v>
      </c>
      <c r="K5" s="18">
        <f t="shared" si="4"/>
        <v>0.4412</v>
      </c>
      <c r="L5" s="18" t="str">
        <f t="shared" si="5"/>
        <v>Verify</v>
      </c>
      <c r="M5" s="8"/>
      <c r="N5" s="8"/>
      <c r="O5" s="8"/>
      <c r="P5" s="8"/>
      <c r="Q5" s="8"/>
      <c r="R5" s="8"/>
      <c r="S5" s="8"/>
      <c r="T5" s="8"/>
      <c r="U5" s="8"/>
      <c r="V5" s="8"/>
      <c r="W5" s="8"/>
      <c r="X5" s="8"/>
      <c r="Y5" s="8"/>
      <c r="Z5" s="8"/>
    </row>
    <row r="6" ht="42.0" customHeight="1">
      <c r="A6" s="9" t="s">
        <v>29</v>
      </c>
      <c r="B6" s="10" t="s">
        <v>20</v>
      </c>
      <c r="C6" s="11">
        <v>46068.0</v>
      </c>
      <c r="D6" s="10" t="s">
        <v>30</v>
      </c>
      <c r="E6" s="12" t="s">
        <v>22</v>
      </c>
      <c r="F6" s="13">
        <v>1014.0</v>
      </c>
      <c r="G6" s="14">
        <f>IFERROR(VLOOKUP(B6,Source_Metadata!$A$2:$C$8,3,FALSE),"")</f>
        <v>8</v>
      </c>
      <c r="H6" s="15" t="str">
        <f t="shared" si="1"/>
        <v>Medium</v>
      </c>
      <c r="I6" s="16">
        <f t="shared" si="2"/>
        <v>79</v>
      </c>
      <c r="J6" s="17">
        <f t="shared" si="3"/>
        <v>8112</v>
      </c>
      <c r="K6" s="18">
        <f t="shared" si="4"/>
        <v>0.4056</v>
      </c>
      <c r="L6" s="18" t="str">
        <f t="shared" si="5"/>
        <v>Verify</v>
      </c>
      <c r="M6" s="8"/>
      <c r="N6" s="8"/>
      <c r="O6" s="8"/>
      <c r="P6" s="8"/>
      <c r="Q6" s="8"/>
      <c r="R6" s="8"/>
      <c r="S6" s="8"/>
      <c r="T6" s="8"/>
      <c r="U6" s="8"/>
      <c r="V6" s="8"/>
      <c r="W6" s="8"/>
      <c r="X6" s="8"/>
      <c r="Y6" s="8"/>
      <c r="Z6" s="8"/>
    </row>
    <row r="7" ht="42.0" customHeight="1">
      <c r="A7" s="9" t="s">
        <v>31</v>
      </c>
      <c r="B7" s="10" t="s">
        <v>20</v>
      </c>
      <c r="C7" s="11">
        <v>46069.0</v>
      </c>
      <c r="D7" s="10" t="s">
        <v>32</v>
      </c>
      <c r="E7" s="12" t="s">
        <v>22</v>
      </c>
      <c r="F7" s="13">
        <v>671.0</v>
      </c>
      <c r="G7" s="14">
        <f>IFERROR(VLOOKUP(B7,Source_Metadata!$A$2:$C$8,3,FALSE),"")</f>
        <v>8</v>
      </c>
      <c r="H7" s="15" t="str">
        <f t="shared" si="1"/>
        <v>Medium</v>
      </c>
      <c r="I7" s="16">
        <f t="shared" si="2"/>
        <v>95</v>
      </c>
      <c r="J7" s="17">
        <f t="shared" si="3"/>
        <v>5368</v>
      </c>
      <c r="K7" s="18">
        <f t="shared" si="4"/>
        <v>0.2684</v>
      </c>
      <c r="L7" s="18" t="str">
        <f t="shared" si="5"/>
        <v>Verify</v>
      </c>
      <c r="M7" s="8"/>
      <c r="N7" s="8"/>
      <c r="O7" s="8"/>
      <c r="P7" s="8"/>
      <c r="Q7" s="8"/>
      <c r="R7" s="8"/>
      <c r="S7" s="8"/>
      <c r="T7" s="8"/>
      <c r="U7" s="8"/>
      <c r="V7" s="8"/>
      <c r="W7" s="8"/>
      <c r="X7" s="8"/>
      <c r="Y7" s="8"/>
      <c r="Z7" s="8"/>
    </row>
    <row r="8" ht="42.0" customHeight="1">
      <c r="A8" s="9" t="s">
        <v>33</v>
      </c>
      <c r="B8" s="10" t="s">
        <v>20</v>
      </c>
      <c r="C8" s="11">
        <v>46070.0</v>
      </c>
      <c r="D8" s="10" t="s">
        <v>34</v>
      </c>
      <c r="E8" s="12" t="s">
        <v>22</v>
      </c>
      <c r="F8" s="13">
        <v>519.0</v>
      </c>
      <c r="G8" s="14">
        <f>IFERROR(VLOOKUP(B8,Source_Metadata!$A$2:$C$8,3,FALSE),"")</f>
        <v>8</v>
      </c>
      <c r="H8" s="15" t="str">
        <f t="shared" si="1"/>
        <v>Medium</v>
      </c>
      <c r="I8" s="16">
        <f t="shared" si="2"/>
        <v>89</v>
      </c>
      <c r="J8" s="17">
        <f t="shared" si="3"/>
        <v>4152</v>
      </c>
      <c r="K8" s="18">
        <f t="shared" si="4"/>
        <v>0.2076</v>
      </c>
      <c r="L8" s="18" t="str">
        <f t="shared" si="5"/>
        <v>Verify</v>
      </c>
      <c r="M8" s="8"/>
      <c r="N8" s="8"/>
      <c r="O8" s="8"/>
      <c r="P8" s="8"/>
      <c r="Q8" s="8"/>
      <c r="R8" s="8"/>
      <c r="S8" s="8"/>
      <c r="T8" s="8"/>
      <c r="U8" s="8"/>
      <c r="V8" s="8"/>
      <c r="W8" s="8"/>
      <c r="X8" s="8"/>
      <c r="Y8" s="8"/>
      <c r="Z8" s="8"/>
    </row>
    <row r="9" ht="42.0" customHeight="1">
      <c r="A9" s="9" t="s">
        <v>35</v>
      </c>
      <c r="B9" s="10" t="s">
        <v>20</v>
      </c>
      <c r="C9" s="11">
        <v>46071.0</v>
      </c>
      <c r="D9" s="10" t="s">
        <v>36</v>
      </c>
      <c r="E9" s="12" t="s">
        <v>22</v>
      </c>
      <c r="F9" s="13">
        <v>2333.0</v>
      </c>
      <c r="G9" s="14">
        <f>IFERROR(VLOOKUP(B9,Source_Metadata!$A$2:$C$8,3,FALSE),"")</f>
        <v>8</v>
      </c>
      <c r="H9" s="15" t="str">
        <f t="shared" si="1"/>
        <v>High</v>
      </c>
      <c r="I9" s="16">
        <f t="shared" si="2"/>
        <v>85</v>
      </c>
      <c r="J9" s="17">
        <f t="shared" si="3"/>
        <v>18664</v>
      </c>
      <c r="K9" s="18">
        <f t="shared" si="4"/>
        <v>0.9332</v>
      </c>
      <c r="L9" s="18" t="str">
        <f t="shared" si="5"/>
        <v>Verify</v>
      </c>
      <c r="M9" s="8"/>
      <c r="N9" s="8"/>
      <c r="O9" s="8"/>
      <c r="P9" s="8"/>
      <c r="Q9" s="8"/>
      <c r="R9" s="8"/>
      <c r="S9" s="8"/>
      <c r="T9" s="8"/>
      <c r="U9" s="8"/>
      <c r="V9" s="8"/>
      <c r="W9" s="8"/>
      <c r="X9" s="8"/>
      <c r="Y9" s="8"/>
      <c r="Z9" s="8"/>
    </row>
    <row r="10" ht="42.0" customHeight="1">
      <c r="A10" s="9" t="s">
        <v>37</v>
      </c>
      <c r="B10" s="10" t="s">
        <v>20</v>
      </c>
      <c r="C10" s="11">
        <v>46072.0</v>
      </c>
      <c r="D10" s="10" t="s">
        <v>38</v>
      </c>
      <c r="E10" s="12" t="s">
        <v>22</v>
      </c>
      <c r="F10" s="13">
        <v>456.0</v>
      </c>
      <c r="G10" s="14">
        <f>IFERROR(VLOOKUP(B10,Source_Metadata!$A$2:$C$8,3,FALSE),"")</f>
        <v>8</v>
      </c>
      <c r="H10" s="15" t="str">
        <f t="shared" si="1"/>
        <v>Low</v>
      </c>
      <c r="I10" s="16">
        <f t="shared" si="2"/>
        <v>88</v>
      </c>
      <c r="J10" s="17">
        <f t="shared" si="3"/>
        <v>3648</v>
      </c>
      <c r="K10" s="18">
        <f t="shared" si="4"/>
        <v>0.1824</v>
      </c>
      <c r="L10" s="18" t="str">
        <f t="shared" si="5"/>
        <v>Verify</v>
      </c>
      <c r="M10" s="8"/>
      <c r="N10" s="8"/>
      <c r="O10" s="8"/>
      <c r="P10" s="8"/>
      <c r="Q10" s="8"/>
      <c r="R10" s="8"/>
      <c r="S10" s="8"/>
      <c r="T10" s="8"/>
      <c r="U10" s="8"/>
      <c r="V10" s="8"/>
      <c r="W10" s="8"/>
      <c r="X10" s="8"/>
      <c r="Y10" s="8"/>
      <c r="Z10" s="8"/>
    </row>
    <row r="11" ht="42.0" customHeight="1">
      <c r="A11" s="9" t="s">
        <v>39</v>
      </c>
      <c r="B11" s="10" t="s">
        <v>20</v>
      </c>
      <c r="C11" s="11">
        <v>46073.0</v>
      </c>
      <c r="D11" s="10" t="s">
        <v>40</v>
      </c>
      <c r="E11" s="12" t="s">
        <v>22</v>
      </c>
      <c r="F11" s="13">
        <v>1828.0</v>
      </c>
      <c r="G11" s="14">
        <f>IFERROR(VLOOKUP(B11,Source_Metadata!$A$2:$C$8,3,FALSE),"")</f>
        <v>8</v>
      </c>
      <c r="H11" s="15" t="str">
        <f t="shared" si="1"/>
        <v>High</v>
      </c>
      <c r="I11" s="16">
        <f t="shared" si="2"/>
        <v>96</v>
      </c>
      <c r="J11" s="17">
        <f t="shared" si="3"/>
        <v>14624</v>
      </c>
      <c r="K11" s="18">
        <f t="shared" si="4"/>
        <v>0.7312</v>
      </c>
      <c r="L11" s="18" t="str">
        <f t="shared" si="5"/>
        <v>Verify</v>
      </c>
      <c r="M11" s="8"/>
      <c r="N11" s="8"/>
      <c r="O11" s="8"/>
      <c r="P11" s="8"/>
      <c r="Q11" s="8"/>
      <c r="R11" s="8"/>
      <c r="S11" s="8"/>
      <c r="T11" s="8"/>
      <c r="U11" s="8"/>
      <c r="V11" s="8"/>
      <c r="W11" s="8"/>
      <c r="X11" s="8"/>
      <c r="Y11" s="8"/>
      <c r="Z11" s="8"/>
    </row>
    <row r="12" ht="42.0" customHeight="1">
      <c r="A12" s="9" t="s">
        <v>41</v>
      </c>
      <c r="B12" s="10" t="s">
        <v>20</v>
      </c>
      <c r="C12" s="11">
        <v>46074.0</v>
      </c>
      <c r="D12" s="10" t="s">
        <v>42</v>
      </c>
      <c r="E12" s="12" t="s">
        <v>22</v>
      </c>
      <c r="F12" s="13">
        <v>230.0</v>
      </c>
      <c r="G12" s="14">
        <f>IFERROR(VLOOKUP(B12,Source_Metadata!$A$2:$C$8,3,FALSE),"")</f>
        <v>8</v>
      </c>
      <c r="H12" s="15" t="str">
        <f t="shared" si="1"/>
        <v>Low</v>
      </c>
      <c r="I12" s="16">
        <f t="shared" si="2"/>
        <v>87</v>
      </c>
      <c r="J12" s="17">
        <f t="shared" si="3"/>
        <v>1840</v>
      </c>
      <c r="K12" s="18">
        <f t="shared" si="4"/>
        <v>0.092</v>
      </c>
      <c r="L12" s="18" t="str">
        <f t="shared" si="5"/>
        <v>Verify</v>
      </c>
      <c r="M12" s="8"/>
      <c r="N12" s="8"/>
      <c r="O12" s="8"/>
      <c r="P12" s="8"/>
      <c r="Q12" s="8"/>
      <c r="R12" s="8"/>
      <c r="S12" s="8"/>
      <c r="T12" s="8"/>
      <c r="U12" s="8"/>
      <c r="V12" s="8"/>
      <c r="W12" s="8"/>
      <c r="X12" s="8"/>
      <c r="Y12" s="8"/>
      <c r="Z12" s="8"/>
    </row>
    <row r="13" ht="42.0" customHeight="1">
      <c r="A13" s="9" t="s">
        <v>43</v>
      </c>
      <c r="B13" s="10" t="s">
        <v>44</v>
      </c>
      <c r="C13" s="11">
        <v>46075.0</v>
      </c>
      <c r="D13" s="10" t="s">
        <v>45</v>
      </c>
      <c r="E13" s="12" t="s">
        <v>22</v>
      </c>
      <c r="F13" s="13">
        <v>222.0</v>
      </c>
      <c r="G13" s="14">
        <f>IFERROR(VLOOKUP(B13,Source_Metadata!$A$2:$C$8,3,FALSE),"")</f>
        <v>8</v>
      </c>
      <c r="H13" s="15" t="str">
        <f t="shared" si="1"/>
        <v>Low</v>
      </c>
      <c r="I13" s="16">
        <f t="shared" si="2"/>
        <v>97</v>
      </c>
      <c r="J13" s="17">
        <f t="shared" si="3"/>
        <v>1776</v>
      </c>
      <c r="K13" s="18">
        <f t="shared" si="4"/>
        <v>0.0888</v>
      </c>
      <c r="L13" s="18" t="str">
        <f t="shared" si="5"/>
        <v>Verify</v>
      </c>
      <c r="M13" s="8"/>
      <c r="N13" s="8"/>
      <c r="O13" s="8"/>
      <c r="P13" s="8"/>
      <c r="Q13" s="8"/>
      <c r="R13" s="8"/>
      <c r="S13" s="8"/>
      <c r="T13" s="8"/>
      <c r="U13" s="8"/>
      <c r="V13" s="8"/>
      <c r="W13" s="8"/>
      <c r="X13" s="8"/>
      <c r="Y13" s="8"/>
      <c r="Z13" s="8"/>
    </row>
    <row r="14" ht="42.0" customHeight="1">
      <c r="A14" s="9" t="s">
        <v>46</v>
      </c>
      <c r="B14" s="10" t="s">
        <v>44</v>
      </c>
      <c r="C14" s="11">
        <v>46076.0</v>
      </c>
      <c r="D14" s="10" t="s">
        <v>47</v>
      </c>
      <c r="E14" s="12" t="s">
        <v>22</v>
      </c>
      <c r="F14" s="13">
        <v>483.0</v>
      </c>
      <c r="G14" s="14">
        <f>IFERROR(VLOOKUP(B14,Source_Metadata!$A$2:$C$8,3,FALSE),"")</f>
        <v>8</v>
      </c>
      <c r="H14" s="15" t="str">
        <f t="shared" si="1"/>
        <v>Low</v>
      </c>
      <c r="I14" s="16">
        <f t="shared" si="2"/>
        <v>104</v>
      </c>
      <c r="J14" s="17">
        <f t="shared" si="3"/>
        <v>3864</v>
      </c>
      <c r="K14" s="18">
        <f t="shared" si="4"/>
        <v>0.1932</v>
      </c>
      <c r="L14" s="18" t="str">
        <f t="shared" si="5"/>
        <v>Verify</v>
      </c>
      <c r="M14" s="8"/>
      <c r="N14" s="8"/>
      <c r="O14" s="8"/>
      <c r="P14" s="8"/>
      <c r="Q14" s="8"/>
      <c r="R14" s="8"/>
      <c r="S14" s="8"/>
      <c r="T14" s="8"/>
      <c r="U14" s="8"/>
      <c r="V14" s="8"/>
      <c r="W14" s="8"/>
      <c r="X14" s="8"/>
      <c r="Y14" s="8"/>
      <c r="Z14" s="8"/>
    </row>
    <row r="15" ht="42.0" customHeight="1">
      <c r="A15" s="9" t="s">
        <v>48</v>
      </c>
      <c r="B15" s="10" t="s">
        <v>44</v>
      </c>
      <c r="C15" s="11">
        <v>46077.0</v>
      </c>
      <c r="D15" s="10" t="s">
        <v>49</v>
      </c>
      <c r="E15" s="12" t="s">
        <v>22</v>
      </c>
      <c r="F15" s="13">
        <v>995.0</v>
      </c>
      <c r="G15" s="14">
        <f>IFERROR(VLOOKUP(B15,Source_Metadata!$A$2:$C$8,3,FALSE),"")</f>
        <v>8</v>
      </c>
      <c r="H15" s="15" t="str">
        <f t="shared" si="1"/>
        <v>Medium</v>
      </c>
      <c r="I15" s="16">
        <f t="shared" si="2"/>
        <v>95</v>
      </c>
      <c r="J15" s="17">
        <f t="shared" si="3"/>
        <v>7960</v>
      </c>
      <c r="K15" s="18">
        <f t="shared" si="4"/>
        <v>0.398</v>
      </c>
      <c r="L15" s="18" t="str">
        <f t="shared" si="5"/>
        <v>Verify</v>
      </c>
      <c r="M15" s="8"/>
      <c r="N15" s="8"/>
      <c r="O15" s="8"/>
      <c r="P15" s="8"/>
      <c r="Q15" s="8"/>
      <c r="R15" s="8"/>
      <c r="S15" s="8"/>
      <c r="T15" s="8"/>
      <c r="U15" s="8"/>
      <c r="V15" s="8"/>
      <c r="W15" s="8"/>
      <c r="X15" s="8"/>
      <c r="Y15" s="8"/>
      <c r="Z15" s="8"/>
    </row>
    <row r="16" ht="42.0" customHeight="1">
      <c r="A16" s="9" t="s">
        <v>50</v>
      </c>
      <c r="B16" s="10" t="s">
        <v>44</v>
      </c>
      <c r="C16" s="11">
        <v>46078.0</v>
      </c>
      <c r="D16" s="10" t="s">
        <v>51</v>
      </c>
      <c r="E16" s="12" t="s">
        <v>22</v>
      </c>
      <c r="F16" s="13">
        <v>1052.0</v>
      </c>
      <c r="G16" s="14">
        <f>IFERROR(VLOOKUP(B16,Source_Metadata!$A$2:$C$8,3,FALSE),"")</f>
        <v>8</v>
      </c>
      <c r="H16" s="15" t="str">
        <f t="shared" si="1"/>
        <v>Medium</v>
      </c>
      <c r="I16" s="16">
        <f t="shared" si="2"/>
        <v>81</v>
      </c>
      <c r="J16" s="17">
        <f t="shared" si="3"/>
        <v>8416</v>
      </c>
      <c r="K16" s="18">
        <f t="shared" si="4"/>
        <v>0.4208</v>
      </c>
      <c r="L16" s="18" t="str">
        <f t="shared" si="5"/>
        <v>Verify</v>
      </c>
      <c r="M16" s="8"/>
      <c r="N16" s="8"/>
      <c r="O16" s="8"/>
      <c r="P16" s="8"/>
      <c r="Q16" s="8"/>
      <c r="R16" s="8"/>
      <c r="S16" s="8"/>
      <c r="T16" s="8"/>
      <c r="U16" s="8"/>
      <c r="V16" s="8"/>
      <c r="W16" s="8"/>
      <c r="X16" s="8"/>
      <c r="Y16" s="8"/>
      <c r="Z16" s="8"/>
    </row>
    <row r="17" ht="42.0" customHeight="1">
      <c r="A17" s="9" t="s">
        <v>52</v>
      </c>
      <c r="B17" s="10" t="s">
        <v>44</v>
      </c>
      <c r="C17" s="11">
        <v>46079.0</v>
      </c>
      <c r="D17" s="10" t="s">
        <v>53</v>
      </c>
      <c r="E17" s="12" t="s">
        <v>22</v>
      </c>
      <c r="F17" s="13">
        <v>2169.0</v>
      </c>
      <c r="G17" s="14">
        <f>IFERROR(VLOOKUP(B17,Source_Metadata!$A$2:$C$8,3,FALSE),"")</f>
        <v>8</v>
      </c>
      <c r="H17" s="15" t="str">
        <f t="shared" si="1"/>
        <v>High</v>
      </c>
      <c r="I17" s="16">
        <f t="shared" si="2"/>
        <v>94</v>
      </c>
      <c r="J17" s="17">
        <f t="shared" si="3"/>
        <v>17352</v>
      </c>
      <c r="K17" s="18">
        <f t="shared" si="4"/>
        <v>0.8676</v>
      </c>
      <c r="L17" s="18" t="str">
        <f t="shared" si="5"/>
        <v>Verify</v>
      </c>
      <c r="M17" s="8"/>
      <c r="N17" s="8"/>
      <c r="O17" s="8"/>
      <c r="P17" s="8"/>
      <c r="Q17" s="8"/>
      <c r="R17" s="8"/>
      <c r="S17" s="8"/>
      <c r="T17" s="8"/>
      <c r="U17" s="8"/>
      <c r="V17" s="8"/>
      <c r="W17" s="8"/>
      <c r="X17" s="8"/>
      <c r="Y17" s="8"/>
      <c r="Z17" s="8"/>
    </row>
    <row r="18" ht="42.0" customHeight="1">
      <c r="A18" s="9" t="s">
        <v>54</v>
      </c>
      <c r="B18" s="10" t="s">
        <v>20</v>
      </c>
      <c r="C18" s="11">
        <v>46080.0</v>
      </c>
      <c r="D18" s="10" t="s">
        <v>55</v>
      </c>
      <c r="E18" s="12" t="s">
        <v>22</v>
      </c>
      <c r="F18" s="13">
        <v>208.0</v>
      </c>
      <c r="G18" s="14">
        <f>IFERROR(VLOOKUP(B18,Source_Metadata!$A$2:$C$8,3,FALSE),"")</f>
        <v>8</v>
      </c>
      <c r="H18" s="15" t="str">
        <f t="shared" si="1"/>
        <v>Low</v>
      </c>
      <c r="I18" s="16">
        <f t="shared" si="2"/>
        <v>86</v>
      </c>
      <c r="J18" s="17">
        <f t="shared" si="3"/>
        <v>1664</v>
      </c>
      <c r="K18" s="18">
        <f t="shared" si="4"/>
        <v>0.0832</v>
      </c>
      <c r="L18" s="18" t="str">
        <f t="shared" si="5"/>
        <v>Verify</v>
      </c>
      <c r="M18" s="8"/>
      <c r="N18" s="8"/>
      <c r="O18" s="8"/>
      <c r="P18" s="8"/>
      <c r="Q18" s="8"/>
      <c r="R18" s="8"/>
      <c r="S18" s="8"/>
      <c r="T18" s="8"/>
      <c r="U18" s="8"/>
      <c r="V18" s="8"/>
      <c r="W18" s="8"/>
      <c r="X18" s="8"/>
      <c r="Y18" s="8"/>
      <c r="Z18" s="8"/>
    </row>
    <row r="19" ht="42.0" customHeight="1">
      <c r="A19" s="9" t="s">
        <v>56</v>
      </c>
      <c r="B19" s="10" t="s">
        <v>20</v>
      </c>
      <c r="C19" s="11">
        <v>46081.0</v>
      </c>
      <c r="D19" s="10" t="s">
        <v>57</v>
      </c>
      <c r="E19" s="12" t="s">
        <v>22</v>
      </c>
      <c r="F19" s="13">
        <v>2398.0</v>
      </c>
      <c r="G19" s="14">
        <f>IFERROR(VLOOKUP(B19,Source_Metadata!$A$2:$C$8,3,FALSE),"")</f>
        <v>8</v>
      </c>
      <c r="H19" s="15" t="str">
        <f t="shared" si="1"/>
        <v>High</v>
      </c>
      <c r="I19" s="16">
        <f t="shared" si="2"/>
        <v>100</v>
      </c>
      <c r="J19" s="17">
        <f t="shared" si="3"/>
        <v>19184</v>
      </c>
      <c r="K19" s="18">
        <f t="shared" si="4"/>
        <v>0.9592</v>
      </c>
      <c r="L19" s="18" t="str">
        <f t="shared" si="5"/>
        <v>Verify</v>
      </c>
      <c r="M19" s="8"/>
      <c r="N19" s="8"/>
      <c r="O19" s="8"/>
      <c r="P19" s="8"/>
      <c r="Q19" s="8"/>
      <c r="R19" s="8"/>
      <c r="S19" s="8"/>
      <c r="T19" s="8"/>
      <c r="U19" s="8"/>
      <c r="V19" s="8"/>
      <c r="W19" s="8"/>
      <c r="X19" s="8"/>
      <c r="Y19" s="8"/>
      <c r="Z19" s="8"/>
    </row>
    <row r="20" ht="42.0" customHeight="1">
      <c r="A20" s="9" t="s">
        <v>58</v>
      </c>
      <c r="B20" s="10" t="s">
        <v>44</v>
      </c>
      <c r="C20" s="11">
        <v>46082.0</v>
      </c>
      <c r="D20" s="10" t="s">
        <v>59</v>
      </c>
      <c r="E20" s="12" t="s">
        <v>22</v>
      </c>
      <c r="F20" s="13">
        <v>914.0</v>
      </c>
      <c r="G20" s="14">
        <f>IFERROR(VLOOKUP(B20,Source_Metadata!$A$2:$C$8,3,FALSE),"")</f>
        <v>8</v>
      </c>
      <c r="H20" s="15" t="str">
        <f t="shared" si="1"/>
        <v>Medium</v>
      </c>
      <c r="I20" s="16">
        <f t="shared" si="2"/>
        <v>94</v>
      </c>
      <c r="J20" s="17">
        <f t="shared" si="3"/>
        <v>7312</v>
      </c>
      <c r="K20" s="18">
        <f t="shared" si="4"/>
        <v>0.3656</v>
      </c>
      <c r="L20" s="18" t="str">
        <f t="shared" si="5"/>
        <v>Verify</v>
      </c>
      <c r="M20" s="8"/>
      <c r="N20" s="8"/>
      <c r="O20" s="8"/>
      <c r="P20" s="8"/>
      <c r="Q20" s="8"/>
      <c r="R20" s="8"/>
      <c r="S20" s="8"/>
      <c r="T20" s="8"/>
      <c r="U20" s="8"/>
      <c r="V20" s="8"/>
      <c r="W20" s="8"/>
      <c r="X20" s="8"/>
      <c r="Y20" s="8"/>
      <c r="Z20" s="8"/>
    </row>
    <row r="21" ht="42.0" customHeight="1">
      <c r="A21" s="9" t="s">
        <v>60</v>
      </c>
      <c r="B21" s="10" t="s">
        <v>44</v>
      </c>
      <c r="C21" s="11">
        <v>46083.0</v>
      </c>
      <c r="D21" s="10" t="s">
        <v>61</v>
      </c>
      <c r="E21" s="12" t="s">
        <v>22</v>
      </c>
      <c r="F21" s="13">
        <v>2332.0</v>
      </c>
      <c r="G21" s="14">
        <f>IFERROR(VLOOKUP(B21,Source_Metadata!$A$2:$C$8,3,FALSE),"")</f>
        <v>8</v>
      </c>
      <c r="H21" s="15" t="str">
        <f t="shared" si="1"/>
        <v>High</v>
      </c>
      <c r="I21" s="16">
        <f t="shared" si="2"/>
        <v>92</v>
      </c>
      <c r="J21" s="17">
        <f t="shared" si="3"/>
        <v>18656</v>
      </c>
      <c r="K21" s="18">
        <f t="shared" si="4"/>
        <v>0.9328</v>
      </c>
      <c r="L21" s="18" t="str">
        <f t="shared" si="5"/>
        <v>Verify</v>
      </c>
      <c r="M21" s="8"/>
      <c r="N21" s="8"/>
      <c r="O21" s="8"/>
      <c r="P21" s="8"/>
      <c r="Q21" s="8"/>
      <c r="R21" s="8"/>
      <c r="S21" s="8"/>
      <c r="T21" s="8"/>
      <c r="U21" s="8"/>
      <c r="V21" s="8"/>
      <c r="W21" s="8"/>
      <c r="X21" s="8"/>
      <c r="Y21" s="8"/>
      <c r="Z21" s="8"/>
    </row>
    <row r="22" ht="42.0" customHeight="1">
      <c r="A22" s="9" t="s">
        <v>62</v>
      </c>
      <c r="B22" s="10" t="s">
        <v>63</v>
      </c>
      <c r="C22" s="11">
        <v>46084.0</v>
      </c>
      <c r="D22" s="10" t="s">
        <v>64</v>
      </c>
      <c r="E22" s="12" t="s">
        <v>65</v>
      </c>
      <c r="F22" s="13">
        <v>1818.0</v>
      </c>
      <c r="G22" s="14">
        <f>IFERROR(VLOOKUP(B22,Source_Metadata!$A$2:$C$8,3,FALSE),"")</f>
        <v>9</v>
      </c>
      <c r="H22" s="15" t="str">
        <f t="shared" si="1"/>
        <v>High</v>
      </c>
      <c r="I22" s="16">
        <f t="shared" si="2"/>
        <v>77</v>
      </c>
      <c r="J22" s="17">
        <f t="shared" si="3"/>
        <v>16362</v>
      </c>
      <c r="K22" s="18">
        <f t="shared" si="4"/>
        <v>0.7272</v>
      </c>
      <c r="L22" s="18" t="str">
        <f t="shared" si="5"/>
        <v>Trusted</v>
      </c>
      <c r="M22" s="8"/>
      <c r="N22" s="8"/>
      <c r="O22" s="8"/>
      <c r="P22" s="8"/>
      <c r="Q22" s="8"/>
      <c r="R22" s="8"/>
      <c r="S22" s="8"/>
      <c r="T22" s="8"/>
      <c r="U22" s="8"/>
      <c r="V22" s="8"/>
      <c r="W22" s="8"/>
      <c r="X22" s="8"/>
      <c r="Y22" s="8"/>
      <c r="Z22" s="8"/>
    </row>
    <row r="23" ht="42.0" customHeight="1">
      <c r="A23" s="9" t="s">
        <v>66</v>
      </c>
      <c r="B23" s="10" t="s">
        <v>63</v>
      </c>
      <c r="C23" s="11">
        <v>46085.0</v>
      </c>
      <c r="D23" s="10" t="s">
        <v>67</v>
      </c>
      <c r="E23" s="12" t="s">
        <v>65</v>
      </c>
      <c r="F23" s="13">
        <v>1002.0</v>
      </c>
      <c r="G23" s="14">
        <f>IFERROR(VLOOKUP(B23,Source_Metadata!$A$2:$C$8,3,FALSE),"")</f>
        <v>9</v>
      </c>
      <c r="H23" s="15" t="str">
        <f t="shared" si="1"/>
        <v>Medium</v>
      </c>
      <c r="I23" s="16">
        <f t="shared" si="2"/>
        <v>94</v>
      </c>
      <c r="J23" s="17">
        <f t="shared" si="3"/>
        <v>9018</v>
      </c>
      <c r="K23" s="18">
        <f t="shared" si="4"/>
        <v>0.4008</v>
      </c>
      <c r="L23" s="18" t="str">
        <f t="shared" si="5"/>
        <v>Trusted</v>
      </c>
      <c r="M23" s="8"/>
      <c r="N23" s="8"/>
      <c r="O23" s="8"/>
      <c r="P23" s="8"/>
      <c r="Q23" s="8"/>
      <c r="R23" s="8"/>
      <c r="S23" s="8"/>
      <c r="T23" s="8"/>
      <c r="U23" s="8"/>
      <c r="V23" s="8"/>
      <c r="W23" s="8"/>
      <c r="X23" s="8"/>
      <c r="Y23" s="8"/>
      <c r="Z23" s="8"/>
    </row>
    <row r="24" ht="42.0" customHeight="1">
      <c r="A24" s="9" t="s">
        <v>68</v>
      </c>
      <c r="B24" s="10" t="s">
        <v>63</v>
      </c>
      <c r="C24" s="11">
        <v>46086.0</v>
      </c>
      <c r="D24" s="10" t="s">
        <v>69</v>
      </c>
      <c r="E24" s="12" t="s">
        <v>65</v>
      </c>
      <c r="F24" s="13">
        <v>1939.0</v>
      </c>
      <c r="G24" s="14">
        <f>IFERROR(VLOOKUP(B24,Source_Metadata!$A$2:$C$8,3,FALSE),"")</f>
        <v>9</v>
      </c>
      <c r="H24" s="15" t="str">
        <f t="shared" si="1"/>
        <v>High</v>
      </c>
      <c r="I24" s="16">
        <f t="shared" si="2"/>
        <v>96</v>
      </c>
      <c r="J24" s="17">
        <f t="shared" si="3"/>
        <v>17451</v>
      </c>
      <c r="K24" s="18">
        <f t="shared" si="4"/>
        <v>0.7756</v>
      </c>
      <c r="L24" s="18" t="str">
        <f t="shared" si="5"/>
        <v>Trusted</v>
      </c>
      <c r="M24" s="8"/>
      <c r="N24" s="8"/>
      <c r="O24" s="8"/>
      <c r="P24" s="8"/>
      <c r="Q24" s="8"/>
      <c r="R24" s="8"/>
      <c r="S24" s="8"/>
      <c r="T24" s="8"/>
      <c r="U24" s="8"/>
      <c r="V24" s="8"/>
      <c r="W24" s="8"/>
      <c r="X24" s="8"/>
      <c r="Y24" s="8"/>
      <c r="Z24" s="8"/>
    </row>
    <row r="25" ht="42.0" customHeight="1">
      <c r="A25" s="9" t="s">
        <v>70</v>
      </c>
      <c r="B25" s="10" t="s">
        <v>63</v>
      </c>
      <c r="C25" s="11">
        <v>46087.0</v>
      </c>
      <c r="D25" s="10" t="s">
        <v>71</v>
      </c>
      <c r="E25" s="12" t="s">
        <v>65</v>
      </c>
      <c r="F25" s="13">
        <v>1239.0</v>
      </c>
      <c r="G25" s="14">
        <f>IFERROR(VLOOKUP(B25,Source_Metadata!$A$2:$C$8,3,FALSE),"")</f>
        <v>9</v>
      </c>
      <c r="H25" s="15" t="str">
        <f t="shared" si="1"/>
        <v>Medium</v>
      </c>
      <c r="I25" s="16">
        <f t="shared" si="2"/>
        <v>90</v>
      </c>
      <c r="J25" s="17">
        <f t="shared" si="3"/>
        <v>11151</v>
      </c>
      <c r="K25" s="18">
        <f t="shared" si="4"/>
        <v>0.4956</v>
      </c>
      <c r="L25" s="18" t="str">
        <f t="shared" si="5"/>
        <v>Trusted</v>
      </c>
      <c r="M25" s="8"/>
      <c r="N25" s="8"/>
      <c r="O25" s="8"/>
      <c r="P25" s="8"/>
      <c r="Q25" s="8"/>
      <c r="R25" s="8"/>
      <c r="S25" s="8"/>
      <c r="T25" s="8"/>
      <c r="U25" s="8"/>
      <c r="V25" s="8"/>
      <c r="W25" s="8"/>
      <c r="X25" s="8"/>
      <c r="Y25" s="8"/>
      <c r="Z25" s="8"/>
    </row>
    <row r="26" ht="42.0" customHeight="1">
      <c r="A26" s="9" t="s">
        <v>72</v>
      </c>
      <c r="B26" s="10" t="s">
        <v>73</v>
      </c>
      <c r="C26" s="11">
        <v>46088.0</v>
      </c>
      <c r="D26" s="10" t="s">
        <v>74</v>
      </c>
      <c r="E26" s="12" t="s">
        <v>65</v>
      </c>
      <c r="F26" s="13">
        <v>126.0</v>
      </c>
      <c r="G26" s="14">
        <f>IFERROR(VLOOKUP(B26,Source_Metadata!$A$2:$C$8,3,FALSE),"")</f>
        <v>9</v>
      </c>
      <c r="H26" s="15" t="str">
        <f t="shared" si="1"/>
        <v>Low</v>
      </c>
      <c r="I26" s="16">
        <f t="shared" si="2"/>
        <v>99</v>
      </c>
      <c r="J26" s="17">
        <f t="shared" si="3"/>
        <v>1134</v>
      </c>
      <c r="K26" s="18">
        <f t="shared" si="4"/>
        <v>0.0504</v>
      </c>
      <c r="L26" s="18" t="str">
        <f t="shared" si="5"/>
        <v>Trusted</v>
      </c>
      <c r="M26" s="8"/>
      <c r="N26" s="8"/>
      <c r="O26" s="8"/>
      <c r="P26" s="8"/>
      <c r="Q26" s="8"/>
      <c r="R26" s="8"/>
      <c r="S26" s="8"/>
      <c r="T26" s="8"/>
      <c r="U26" s="8"/>
      <c r="V26" s="8"/>
      <c r="W26" s="8"/>
      <c r="X26" s="8"/>
      <c r="Y26" s="8"/>
      <c r="Z26" s="8"/>
    </row>
    <row r="27" ht="42.0" customHeight="1">
      <c r="A27" s="9" t="s">
        <v>75</v>
      </c>
      <c r="B27" s="10" t="s">
        <v>73</v>
      </c>
      <c r="C27" s="11">
        <v>46089.0</v>
      </c>
      <c r="D27" s="10" t="s">
        <v>76</v>
      </c>
      <c r="E27" s="12" t="s">
        <v>65</v>
      </c>
      <c r="F27" s="13">
        <v>753.0</v>
      </c>
      <c r="G27" s="14">
        <f>IFERROR(VLOOKUP(B27,Source_Metadata!$A$2:$C$8,3,FALSE),"")</f>
        <v>9</v>
      </c>
      <c r="H27" s="15" t="str">
        <f t="shared" si="1"/>
        <v>Medium</v>
      </c>
      <c r="I27" s="16">
        <f t="shared" si="2"/>
        <v>91</v>
      </c>
      <c r="J27" s="17">
        <f t="shared" si="3"/>
        <v>6777</v>
      </c>
      <c r="K27" s="18">
        <f t="shared" si="4"/>
        <v>0.3012</v>
      </c>
      <c r="L27" s="18" t="str">
        <f t="shared" si="5"/>
        <v>Trusted</v>
      </c>
      <c r="M27" s="8"/>
      <c r="N27" s="8"/>
      <c r="O27" s="8"/>
      <c r="P27" s="8"/>
      <c r="Q27" s="8"/>
      <c r="R27" s="8"/>
      <c r="S27" s="8"/>
      <c r="T27" s="8"/>
      <c r="U27" s="8"/>
      <c r="V27" s="8"/>
      <c r="W27" s="8"/>
      <c r="X27" s="8"/>
      <c r="Y27" s="8"/>
      <c r="Z27" s="8"/>
    </row>
    <row r="28" ht="42.0" customHeight="1">
      <c r="A28" s="9" t="s">
        <v>77</v>
      </c>
      <c r="B28" s="10" t="s">
        <v>73</v>
      </c>
      <c r="C28" s="11">
        <v>46090.0</v>
      </c>
      <c r="D28" s="10" t="s">
        <v>78</v>
      </c>
      <c r="E28" s="12" t="s">
        <v>65</v>
      </c>
      <c r="F28" s="13">
        <v>1831.0</v>
      </c>
      <c r="G28" s="14">
        <f>IFERROR(VLOOKUP(B28,Source_Metadata!$A$2:$C$8,3,FALSE),"")</f>
        <v>9</v>
      </c>
      <c r="H28" s="15" t="str">
        <f t="shared" si="1"/>
        <v>High</v>
      </c>
      <c r="I28" s="16">
        <f t="shared" si="2"/>
        <v>86</v>
      </c>
      <c r="J28" s="17">
        <f t="shared" si="3"/>
        <v>16479</v>
      </c>
      <c r="K28" s="18">
        <f t="shared" si="4"/>
        <v>0.7324</v>
      </c>
      <c r="L28" s="18" t="str">
        <f t="shared" si="5"/>
        <v>Trusted</v>
      </c>
      <c r="M28" s="8"/>
      <c r="N28" s="8"/>
      <c r="O28" s="8"/>
      <c r="P28" s="8"/>
      <c r="Q28" s="8"/>
      <c r="R28" s="8"/>
      <c r="S28" s="8"/>
      <c r="T28" s="8"/>
      <c r="U28" s="8"/>
      <c r="V28" s="8"/>
      <c r="W28" s="8"/>
      <c r="X28" s="8"/>
      <c r="Y28" s="8"/>
      <c r="Z28" s="8"/>
    </row>
    <row r="29" ht="42.0" customHeight="1">
      <c r="A29" s="9" t="s">
        <v>79</v>
      </c>
      <c r="B29" s="10" t="s">
        <v>63</v>
      </c>
      <c r="C29" s="11">
        <v>46091.0</v>
      </c>
      <c r="D29" s="10" t="s">
        <v>80</v>
      </c>
      <c r="E29" s="12" t="s">
        <v>65</v>
      </c>
      <c r="F29" s="13">
        <v>1493.0</v>
      </c>
      <c r="G29" s="14">
        <f>IFERROR(VLOOKUP(B29,Source_Metadata!$A$2:$C$8,3,FALSE),"")</f>
        <v>9</v>
      </c>
      <c r="H29" s="15" t="str">
        <f t="shared" si="1"/>
        <v>Medium</v>
      </c>
      <c r="I29" s="16">
        <f t="shared" si="2"/>
        <v>102</v>
      </c>
      <c r="J29" s="17">
        <f t="shared" si="3"/>
        <v>13437</v>
      </c>
      <c r="K29" s="18">
        <f t="shared" si="4"/>
        <v>0.5972</v>
      </c>
      <c r="L29" s="18" t="str">
        <f t="shared" si="5"/>
        <v>Trusted</v>
      </c>
      <c r="M29" s="8"/>
      <c r="N29" s="8"/>
      <c r="O29" s="8"/>
      <c r="P29" s="8"/>
      <c r="Q29" s="8"/>
      <c r="R29" s="8"/>
      <c r="S29" s="8"/>
      <c r="T29" s="8"/>
      <c r="U29" s="8"/>
      <c r="V29" s="8"/>
      <c r="W29" s="8"/>
      <c r="X29" s="8"/>
      <c r="Y29" s="8"/>
      <c r="Z29" s="8"/>
    </row>
    <row r="30" ht="42.0" customHeight="1">
      <c r="A30" s="9" t="s">
        <v>81</v>
      </c>
      <c r="B30" s="10" t="s">
        <v>63</v>
      </c>
      <c r="C30" s="11">
        <v>46092.0</v>
      </c>
      <c r="D30" s="10" t="s">
        <v>82</v>
      </c>
      <c r="E30" s="12" t="s">
        <v>65</v>
      </c>
      <c r="F30" s="13">
        <v>1238.0</v>
      </c>
      <c r="G30" s="14">
        <f>IFERROR(VLOOKUP(B30,Source_Metadata!$A$2:$C$8,3,FALSE),"")</f>
        <v>9</v>
      </c>
      <c r="H30" s="15" t="str">
        <f t="shared" si="1"/>
        <v>Medium</v>
      </c>
      <c r="I30" s="16">
        <f t="shared" si="2"/>
        <v>90</v>
      </c>
      <c r="J30" s="17">
        <f t="shared" si="3"/>
        <v>11142</v>
      </c>
      <c r="K30" s="18">
        <f t="shared" si="4"/>
        <v>0.4952</v>
      </c>
      <c r="L30" s="18" t="str">
        <f t="shared" si="5"/>
        <v>Trusted</v>
      </c>
      <c r="M30" s="8"/>
      <c r="N30" s="8"/>
      <c r="O30" s="8"/>
      <c r="P30" s="8"/>
      <c r="Q30" s="8"/>
      <c r="R30" s="8"/>
      <c r="S30" s="8"/>
      <c r="T30" s="8"/>
      <c r="U30" s="8"/>
      <c r="V30" s="8"/>
      <c r="W30" s="8"/>
      <c r="X30" s="8"/>
      <c r="Y30" s="8"/>
      <c r="Z30" s="8"/>
    </row>
    <row r="31" ht="42.0" customHeight="1">
      <c r="A31" s="9" t="s">
        <v>83</v>
      </c>
      <c r="B31" s="10" t="s">
        <v>84</v>
      </c>
      <c r="C31" s="11">
        <v>46093.0</v>
      </c>
      <c r="D31" s="10" t="s">
        <v>85</v>
      </c>
      <c r="E31" s="12" t="s">
        <v>65</v>
      </c>
      <c r="F31" s="13">
        <v>736.0</v>
      </c>
      <c r="G31" s="14">
        <f>IFERROR(VLOOKUP(B31,Source_Metadata!$A$2:$C$8,3,FALSE),"")</f>
        <v>8</v>
      </c>
      <c r="H31" s="15" t="str">
        <f t="shared" si="1"/>
        <v>Medium</v>
      </c>
      <c r="I31" s="16">
        <f t="shared" si="2"/>
        <v>106</v>
      </c>
      <c r="J31" s="17">
        <f t="shared" si="3"/>
        <v>5888</v>
      </c>
      <c r="K31" s="18">
        <f t="shared" si="4"/>
        <v>0.2944</v>
      </c>
      <c r="L31" s="18" t="str">
        <f t="shared" si="5"/>
        <v>Verify</v>
      </c>
      <c r="M31" s="8"/>
      <c r="N31" s="8"/>
      <c r="O31" s="8"/>
      <c r="P31" s="8"/>
      <c r="Q31" s="8"/>
      <c r="R31" s="8"/>
      <c r="S31" s="8"/>
      <c r="T31" s="8"/>
      <c r="U31" s="8"/>
      <c r="V31" s="8"/>
      <c r="W31" s="8"/>
      <c r="X31" s="8"/>
      <c r="Y31" s="8"/>
      <c r="Z31" s="8"/>
    </row>
    <row r="32" ht="42.0" customHeight="1">
      <c r="A32" s="9" t="s">
        <v>86</v>
      </c>
      <c r="B32" s="10" t="s">
        <v>84</v>
      </c>
      <c r="C32" s="11">
        <v>46094.0</v>
      </c>
      <c r="D32" s="10" t="s">
        <v>87</v>
      </c>
      <c r="E32" s="12" t="s">
        <v>65</v>
      </c>
      <c r="F32" s="13">
        <v>981.0</v>
      </c>
      <c r="G32" s="14">
        <f>IFERROR(VLOOKUP(B32,Source_Metadata!$A$2:$C$8,3,FALSE),"")</f>
        <v>8</v>
      </c>
      <c r="H32" s="15" t="str">
        <f t="shared" si="1"/>
        <v>Medium</v>
      </c>
      <c r="I32" s="16">
        <f t="shared" si="2"/>
        <v>94</v>
      </c>
      <c r="J32" s="17">
        <f t="shared" si="3"/>
        <v>7848</v>
      </c>
      <c r="K32" s="18">
        <f t="shared" si="4"/>
        <v>0.3924</v>
      </c>
      <c r="L32" s="18" t="str">
        <f t="shared" si="5"/>
        <v>Verify</v>
      </c>
      <c r="M32" s="8"/>
      <c r="N32" s="8"/>
      <c r="O32" s="8"/>
      <c r="P32" s="8"/>
      <c r="Q32" s="8"/>
      <c r="R32" s="8"/>
      <c r="S32" s="8"/>
      <c r="T32" s="8"/>
      <c r="U32" s="8"/>
      <c r="V32" s="8"/>
      <c r="W32" s="8"/>
      <c r="X32" s="8"/>
      <c r="Y32" s="8"/>
      <c r="Z32" s="8"/>
    </row>
    <row r="33" ht="42.0" customHeight="1">
      <c r="A33" s="9" t="s">
        <v>88</v>
      </c>
      <c r="B33" s="10" t="s">
        <v>84</v>
      </c>
      <c r="C33" s="11">
        <v>46095.0</v>
      </c>
      <c r="D33" s="10" t="s">
        <v>89</v>
      </c>
      <c r="E33" s="12" t="s">
        <v>65</v>
      </c>
      <c r="F33" s="13">
        <v>1478.0</v>
      </c>
      <c r="G33" s="14">
        <f>IFERROR(VLOOKUP(B33,Source_Metadata!$A$2:$C$8,3,FALSE),"")</f>
        <v>8</v>
      </c>
      <c r="H33" s="15" t="str">
        <f t="shared" si="1"/>
        <v>Medium</v>
      </c>
      <c r="I33" s="16">
        <f t="shared" si="2"/>
        <v>91</v>
      </c>
      <c r="J33" s="17">
        <f t="shared" si="3"/>
        <v>11824</v>
      </c>
      <c r="K33" s="18">
        <f t="shared" si="4"/>
        <v>0.5912</v>
      </c>
      <c r="L33" s="18" t="str">
        <f t="shared" si="5"/>
        <v>Verify</v>
      </c>
      <c r="M33" s="8"/>
      <c r="N33" s="8"/>
      <c r="O33" s="8"/>
      <c r="P33" s="8"/>
      <c r="Q33" s="8"/>
      <c r="R33" s="8"/>
      <c r="S33" s="8"/>
      <c r="T33" s="8"/>
      <c r="U33" s="8"/>
      <c r="V33" s="8"/>
      <c r="W33" s="8"/>
      <c r="X33" s="8"/>
      <c r="Y33" s="8"/>
      <c r="Z33" s="8"/>
    </row>
    <row r="34" ht="42.0" customHeight="1">
      <c r="A34" s="9" t="s">
        <v>90</v>
      </c>
      <c r="B34" s="10" t="s">
        <v>63</v>
      </c>
      <c r="C34" s="11">
        <v>46096.0</v>
      </c>
      <c r="D34" s="10" t="s">
        <v>91</v>
      </c>
      <c r="E34" s="12" t="s">
        <v>65</v>
      </c>
      <c r="F34" s="13">
        <v>518.0</v>
      </c>
      <c r="G34" s="14">
        <f>IFERROR(VLOOKUP(B34,Source_Metadata!$A$2:$C$8,3,FALSE),"")</f>
        <v>9</v>
      </c>
      <c r="H34" s="15" t="str">
        <f t="shared" si="1"/>
        <v>Medium</v>
      </c>
      <c r="I34" s="16">
        <f t="shared" si="2"/>
        <v>109</v>
      </c>
      <c r="J34" s="17">
        <f t="shared" si="3"/>
        <v>4662</v>
      </c>
      <c r="K34" s="18">
        <f t="shared" si="4"/>
        <v>0.2072</v>
      </c>
      <c r="L34" s="18" t="str">
        <f t="shared" si="5"/>
        <v>Trusted</v>
      </c>
      <c r="M34" s="8"/>
      <c r="N34" s="8"/>
      <c r="O34" s="8"/>
      <c r="P34" s="8"/>
      <c r="Q34" s="8"/>
      <c r="R34" s="8"/>
      <c r="S34" s="8"/>
      <c r="T34" s="8"/>
      <c r="U34" s="8"/>
      <c r="V34" s="8"/>
      <c r="W34" s="8"/>
      <c r="X34" s="8"/>
      <c r="Y34" s="8"/>
      <c r="Z34" s="8"/>
    </row>
    <row r="35" ht="42.0" customHeight="1">
      <c r="A35" s="9" t="s">
        <v>92</v>
      </c>
      <c r="B35" s="10" t="s">
        <v>63</v>
      </c>
      <c r="C35" s="11">
        <v>46097.0</v>
      </c>
      <c r="D35" s="10" t="s">
        <v>93</v>
      </c>
      <c r="E35" s="12" t="s">
        <v>65</v>
      </c>
      <c r="F35" s="13">
        <v>479.0</v>
      </c>
      <c r="G35" s="14">
        <f>IFERROR(VLOOKUP(B35,Source_Metadata!$A$2:$C$8,3,FALSE),"")</f>
        <v>9</v>
      </c>
      <c r="H35" s="15" t="str">
        <f t="shared" si="1"/>
        <v>Low</v>
      </c>
      <c r="I35" s="16">
        <f t="shared" si="2"/>
        <v>98</v>
      </c>
      <c r="J35" s="17">
        <f t="shared" si="3"/>
        <v>4311</v>
      </c>
      <c r="K35" s="18">
        <f t="shared" si="4"/>
        <v>0.1916</v>
      </c>
      <c r="L35" s="18" t="str">
        <f t="shared" si="5"/>
        <v>Trusted</v>
      </c>
      <c r="M35" s="8"/>
      <c r="N35" s="8"/>
      <c r="O35" s="8"/>
      <c r="P35" s="8"/>
      <c r="Q35" s="8"/>
      <c r="R35" s="8"/>
      <c r="S35" s="8"/>
      <c r="T35" s="8"/>
      <c r="U35" s="8"/>
      <c r="V35" s="8"/>
      <c r="W35" s="8"/>
      <c r="X35" s="8"/>
      <c r="Y35" s="8"/>
      <c r="Z35" s="8"/>
    </row>
    <row r="36" ht="42.0" customHeight="1">
      <c r="A36" s="9" t="s">
        <v>94</v>
      </c>
      <c r="B36" s="10" t="s">
        <v>84</v>
      </c>
      <c r="C36" s="11">
        <v>46098.0</v>
      </c>
      <c r="D36" s="10" t="s">
        <v>95</v>
      </c>
      <c r="E36" s="12" t="s">
        <v>65</v>
      </c>
      <c r="F36" s="13">
        <v>1656.0</v>
      </c>
      <c r="G36" s="14">
        <f>IFERROR(VLOOKUP(B36,Source_Metadata!$A$2:$C$8,3,FALSE),"")</f>
        <v>8</v>
      </c>
      <c r="H36" s="15" t="str">
        <f t="shared" si="1"/>
        <v>High</v>
      </c>
      <c r="I36" s="16">
        <f t="shared" si="2"/>
        <v>94</v>
      </c>
      <c r="J36" s="17">
        <f t="shared" si="3"/>
        <v>13248</v>
      </c>
      <c r="K36" s="18">
        <f t="shared" si="4"/>
        <v>0.6624</v>
      </c>
      <c r="L36" s="18" t="str">
        <f t="shared" si="5"/>
        <v>Verify</v>
      </c>
      <c r="M36" s="8"/>
      <c r="N36" s="8"/>
      <c r="O36" s="8"/>
      <c r="P36" s="8"/>
      <c r="Q36" s="8"/>
      <c r="R36" s="8"/>
      <c r="S36" s="8"/>
      <c r="T36" s="8"/>
      <c r="U36" s="8"/>
      <c r="V36" s="8"/>
      <c r="W36" s="8"/>
      <c r="X36" s="8"/>
      <c r="Y36" s="8"/>
      <c r="Z36" s="8"/>
    </row>
    <row r="37" ht="42.0" customHeight="1">
      <c r="A37" s="9" t="s">
        <v>96</v>
      </c>
      <c r="B37" s="10" t="s">
        <v>63</v>
      </c>
      <c r="C37" s="11">
        <v>46099.0</v>
      </c>
      <c r="D37" s="10" t="s">
        <v>97</v>
      </c>
      <c r="E37" s="12" t="s">
        <v>65</v>
      </c>
      <c r="F37" s="13">
        <v>496.0</v>
      </c>
      <c r="G37" s="14">
        <f>IFERROR(VLOOKUP(B37,Source_Metadata!$A$2:$C$8,3,FALSE),"")</f>
        <v>9</v>
      </c>
      <c r="H37" s="15" t="str">
        <f t="shared" si="1"/>
        <v>Low</v>
      </c>
      <c r="I37" s="16">
        <f t="shared" si="2"/>
        <v>99</v>
      </c>
      <c r="J37" s="17">
        <f t="shared" si="3"/>
        <v>4464</v>
      </c>
      <c r="K37" s="18">
        <f t="shared" si="4"/>
        <v>0.1984</v>
      </c>
      <c r="L37" s="18" t="str">
        <f t="shared" si="5"/>
        <v>Trusted</v>
      </c>
      <c r="M37" s="8"/>
      <c r="N37" s="8"/>
      <c r="O37" s="8"/>
      <c r="P37" s="8"/>
      <c r="Q37" s="8"/>
      <c r="R37" s="8"/>
      <c r="S37" s="8"/>
      <c r="T37" s="8"/>
      <c r="U37" s="8"/>
      <c r="V37" s="8"/>
      <c r="W37" s="8"/>
      <c r="X37" s="8"/>
      <c r="Y37" s="8"/>
      <c r="Z37" s="8"/>
    </row>
    <row r="38" ht="42.0" customHeight="1">
      <c r="A38" s="9" t="s">
        <v>98</v>
      </c>
      <c r="B38" s="10" t="s">
        <v>63</v>
      </c>
      <c r="C38" s="11">
        <v>46100.0</v>
      </c>
      <c r="D38" s="10" t="s">
        <v>99</v>
      </c>
      <c r="E38" s="12" t="s">
        <v>65</v>
      </c>
      <c r="F38" s="13">
        <v>1570.0</v>
      </c>
      <c r="G38" s="14">
        <f>IFERROR(VLOOKUP(B38,Source_Metadata!$A$2:$C$8,3,FALSE),"")</f>
        <v>9</v>
      </c>
      <c r="H38" s="15" t="str">
        <f t="shared" si="1"/>
        <v>High</v>
      </c>
      <c r="I38" s="16">
        <f t="shared" si="2"/>
        <v>97</v>
      </c>
      <c r="J38" s="17">
        <f t="shared" si="3"/>
        <v>14130</v>
      </c>
      <c r="K38" s="18">
        <f t="shared" si="4"/>
        <v>0.628</v>
      </c>
      <c r="L38" s="18" t="str">
        <f t="shared" si="5"/>
        <v>Trusted</v>
      </c>
      <c r="M38" s="8"/>
      <c r="N38" s="8"/>
      <c r="O38" s="8"/>
      <c r="P38" s="8"/>
      <c r="Q38" s="8"/>
      <c r="R38" s="8"/>
      <c r="S38" s="8"/>
      <c r="T38" s="8"/>
      <c r="U38" s="8"/>
      <c r="V38" s="8"/>
      <c r="W38" s="8"/>
      <c r="X38" s="8"/>
      <c r="Y38" s="8"/>
      <c r="Z38" s="8"/>
    </row>
    <row r="39" ht="42.0" customHeight="1">
      <c r="A39" s="9" t="s">
        <v>100</v>
      </c>
      <c r="B39" s="10" t="s">
        <v>73</v>
      </c>
      <c r="C39" s="11">
        <v>46101.0</v>
      </c>
      <c r="D39" s="10" t="s">
        <v>101</v>
      </c>
      <c r="E39" s="12" t="s">
        <v>65</v>
      </c>
      <c r="F39" s="13">
        <v>1508.0</v>
      </c>
      <c r="G39" s="14">
        <f>IFERROR(VLOOKUP(B39,Source_Metadata!$A$2:$C$8,3,FALSE),"")</f>
        <v>9</v>
      </c>
      <c r="H39" s="15" t="str">
        <f t="shared" si="1"/>
        <v>High</v>
      </c>
      <c r="I39" s="16">
        <f t="shared" si="2"/>
        <v>105</v>
      </c>
      <c r="J39" s="17">
        <f t="shared" si="3"/>
        <v>13572</v>
      </c>
      <c r="K39" s="18">
        <f t="shared" si="4"/>
        <v>0.6032</v>
      </c>
      <c r="L39" s="18" t="str">
        <f t="shared" si="5"/>
        <v>Trusted</v>
      </c>
      <c r="M39" s="8"/>
      <c r="N39" s="8"/>
      <c r="O39" s="8"/>
      <c r="P39" s="8"/>
      <c r="Q39" s="8"/>
      <c r="R39" s="8"/>
      <c r="S39" s="8"/>
      <c r="T39" s="8"/>
      <c r="U39" s="8"/>
      <c r="V39" s="8"/>
      <c r="W39" s="8"/>
      <c r="X39" s="8"/>
      <c r="Y39" s="8"/>
      <c r="Z39" s="8"/>
    </row>
    <row r="40" ht="42.0" customHeight="1">
      <c r="A40" s="9" t="s">
        <v>102</v>
      </c>
      <c r="B40" s="10" t="s">
        <v>63</v>
      </c>
      <c r="C40" s="11">
        <v>46102.0</v>
      </c>
      <c r="D40" s="10" t="s">
        <v>103</v>
      </c>
      <c r="E40" s="12" t="s">
        <v>65</v>
      </c>
      <c r="F40" s="13">
        <v>1183.0</v>
      </c>
      <c r="G40" s="14">
        <f>IFERROR(VLOOKUP(B40,Source_Metadata!$A$2:$C$8,3,FALSE),"")</f>
        <v>9</v>
      </c>
      <c r="H40" s="15" t="str">
        <f t="shared" si="1"/>
        <v>Medium</v>
      </c>
      <c r="I40" s="16">
        <f t="shared" si="2"/>
        <v>99</v>
      </c>
      <c r="J40" s="17">
        <f t="shared" si="3"/>
        <v>10647</v>
      </c>
      <c r="K40" s="18">
        <f t="shared" si="4"/>
        <v>0.4732</v>
      </c>
      <c r="L40" s="18" t="str">
        <f t="shared" si="5"/>
        <v>Trusted</v>
      </c>
      <c r="M40" s="8"/>
      <c r="N40" s="8"/>
      <c r="O40" s="8"/>
      <c r="P40" s="8"/>
      <c r="Q40" s="8"/>
      <c r="R40" s="8"/>
      <c r="S40" s="8"/>
      <c r="T40" s="8"/>
      <c r="U40" s="8"/>
      <c r="V40" s="8"/>
      <c r="W40" s="8"/>
      <c r="X40" s="8"/>
      <c r="Y40" s="8"/>
      <c r="Z40" s="8"/>
    </row>
    <row r="41" ht="42.0" customHeight="1">
      <c r="A41" s="9" t="s">
        <v>104</v>
      </c>
      <c r="B41" s="10" t="s">
        <v>63</v>
      </c>
      <c r="C41" s="11">
        <v>46103.0</v>
      </c>
      <c r="D41" s="10" t="s">
        <v>105</v>
      </c>
      <c r="E41" s="12" t="s">
        <v>65</v>
      </c>
      <c r="F41" s="13">
        <v>277.0</v>
      </c>
      <c r="G41" s="14">
        <f>IFERROR(VLOOKUP(B41,Source_Metadata!$A$2:$C$8,3,FALSE),"")</f>
        <v>9</v>
      </c>
      <c r="H41" s="15" t="str">
        <f t="shared" si="1"/>
        <v>Low</v>
      </c>
      <c r="I41" s="16">
        <f t="shared" si="2"/>
        <v>105</v>
      </c>
      <c r="J41" s="17">
        <f t="shared" si="3"/>
        <v>2493</v>
      </c>
      <c r="K41" s="18">
        <f t="shared" si="4"/>
        <v>0.1108</v>
      </c>
      <c r="L41" s="18" t="str">
        <f t="shared" si="5"/>
        <v>Trusted</v>
      </c>
      <c r="M41" s="8"/>
      <c r="N41" s="8"/>
      <c r="O41" s="8"/>
      <c r="P41" s="8"/>
      <c r="Q41" s="8"/>
      <c r="R41" s="8"/>
      <c r="S41" s="8"/>
      <c r="T41" s="8"/>
      <c r="U41" s="8"/>
      <c r="V41" s="8"/>
      <c r="W41" s="8"/>
      <c r="X41" s="8"/>
      <c r="Y41" s="8"/>
      <c r="Z41" s="8"/>
    </row>
    <row r="42" ht="42.0" customHeight="1">
      <c r="A42" s="9" t="s">
        <v>106</v>
      </c>
      <c r="B42" s="10" t="s">
        <v>107</v>
      </c>
      <c r="C42" s="11">
        <v>46104.0</v>
      </c>
      <c r="D42" s="10" t="s">
        <v>108</v>
      </c>
      <c r="E42" s="12" t="s">
        <v>109</v>
      </c>
      <c r="F42" s="13">
        <v>1981.0</v>
      </c>
      <c r="G42" s="14">
        <f>IFERROR(VLOOKUP(B42,Source_Metadata!$A$2:$C$8,3,FALSE),"")</f>
        <v>9</v>
      </c>
      <c r="H42" s="15" t="str">
        <f t="shared" si="1"/>
        <v>High</v>
      </c>
      <c r="I42" s="16">
        <f t="shared" si="2"/>
        <v>110</v>
      </c>
      <c r="J42" s="17">
        <f t="shared" si="3"/>
        <v>17829</v>
      </c>
      <c r="K42" s="18">
        <f t="shared" si="4"/>
        <v>0.7924</v>
      </c>
      <c r="L42" s="18" t="str">
        <f t="shared" si="5"/>
        <v>Trusted</v>
      </c>
      <c r="M42" s="8"/>
      <c r="N42" s="8"/>
      <c r="O42" s="8"/>
      <c r="P42" s="8"/>
      <c r="Q42" s="8"/>
      <c r="R42" s="8"/>
      <c r="S42" s="8"/>
      <c r="T42" s="8"/>
      <c r="U42" s="8"/>
      <c r="V42" s="8"/>
      <c r="W42" s="8"/>
      <c r="X42" s="8"/>
      <c r="Y42" s="8"/>
      <c r="Z42" s="8"/>
    </row>
    <row r="43" ht="42.0" customHeight="1">
      <c r="A43" s="9" t="s">
        <v>110</v>
      </c>
      <c r="B43" s="10" t="s">
        <v>107</v>
      </c>
      <c r="C43" s="11">
        <v>46105.0</v>
      </c>
      <c r="D43" s="10" t="s">
        <v>111</v>
      </c>
      <c r="E43" s="12" t="s">
        <v>109</v>
      </c>
      <c r="F43" s="13">
        <v>2296.0</v>
      </c>
      <c r="G43" s="14">
        <f>IFERROR(VLOOKUP(B43,Source_Metadata!$A$2:$C$8,3,FALSE),"")</f>
        <v>9</v>
      </c>
      <c r="H43" s="15" t="str">
        <f t="shared" si="1"/>
        <v>High</v>
      </c>
      <c r="I43" s="16">
        <f t="shared" si="2"/>
        <v>96</v>
      </c>
      <c r="J43" s="17">
        <f t="shared" si="3"/>
        <v>20664</v>
      </c>
      <c r="K43" s="18">
        <f t="shared" si="4"/>
        <v>0.9184</v>
      </c>
      <c r="L43" s="18" t="str">
        <f t="shared" si="5"/>
        <v>Trusted</v>
      </c>
      <c r="M43" s="8"/>
      <c r="N43" s="8"/>
      <c r="O43" s="8"/>
      <c r="P43" s="8"/>
      <c r="Q43" s="8"/>
      <c r="R43" s="8"/>
      <c r="S43" s="8"/>
      <c r="T43" s="8"/>
      <c r="U43" s="8"/>
      <c r="V43" s="8"/>
      <c r="W43" s="8"/>
      <c r="X43" s="8"/>
      <c r="Y43" s="8"/>
      <c r="Z43" s="8"/>
    </row>
    <row r="44" ht="42.0" customHeight="1">
      <c r="A44" s="9" t="s">
        <v>112</v>
      </c>
      <c r="B44" s="10" t="s">
        <v>107</v>
      </c>
      <c r="C44" s="11">
        <v>46106.0</v>
      </c>
      <c r="D44" s="10" t="s">
        <v>113</v>
      </c>
      <c r="E44" s="12" t="s">
        <v>109</v>
      </c>
      <c r="F44" s="13">
        <v>611.0</v>
      </c>
      <c r="G44" s="14">
        <f>IFERROR(VLOOKUP(B44,Source_Metadata!$A$2:$C$8,3,FALSE),"")</f>
        <v>9</v>
      </c>
      <c r="H44" s="15" t="str">
        <f t="shared" si="1"/>
        <v>Medium</v>
      </c>
      <c r="I44" s="16">
        <f t="shared" si="2"/>
        <v>107</v>
      </c>
      <c r="J44" s="17">
        <f t="shared" si="3"/>
        <v>5499</v>
      </c>
      <c r="K44" s="18">
        <f t="shared" si="4"/>
        <v>0.2444</v>
      </c>
      <c r="L44" s="18" t="str">
        <f t="shared" si="5"/>
        <v>Trusted</v>
      </c>
      <c r="M44" s="8"/>
      <c r="N44" s="8"/>
      <c r="O44" s="8"/>
      <c r="P44" s="8"/>
      <c r="Q44" s="8"/>
      <c r="R44" s="8"/>
      <c r="S44" s="8"/>
      <c r="T44" s="8"/>
      <c r="U44" s="8"/>
      <c r="V44" s="8"/>
      <c r="W44" s="8"/>
      <c r="X44" s="8"/>
      <c r="Y44" s="8"/>
      <c r="Z44" s="8"/>
    </row>
    <row r="45" ht="42.0" customHeight="1">
      <c r="A45" s="9" t="s">
        <v>114</v>
      </c>
      <c r="B45" s="10" t="s">
        <v>107</v>
      </c>
      <c r="C45" s="11">
        <v>46107.0</v>
      </c>
      <c r="D45" s="10" t="s">
        <v>115</v>
      </c>
      <c r="E45" s="12" t="s">
        <v>109</v>
      </c>
      <c r="F45" s="13">
        <v>1650.0</v>
      </c>
      <c r="G45" s="14">
        <f>IFERROR(VLOOKUP(B45,Source_Metadata!$A$2:$C$8,3,FALSE),"")</f>
        <v>9</v>
      </c>
      <c r="H45" s="15" t="str">
        <f t="shared" si="1"/>
        <v>High</v>
      </c>
      <c r="I45" s="16">
        <f t="shared" si="2"/>
        <v>105</v>
      </c>
      <c r="J45" s="17">
        <f t="shared" si="3"/>
        <v>14850</v>
      </c>
      <c r="K45" s="18">
        <f t="shared" si="4"/>
        <v>0.66</v>
      </c>
      <c r="L45" s="18" t="str">
        <f t="shared" si="5"/>
        <v>Trusted</v>
      </c>
      <c r="M45" s="8"/>
      <c r="N45" s="8"/>
      <c r="O45" s="8"/>
      <c r="P45" s="8"/>
      <c r="Q45" s="8"/>
      <c r="R45" s="8"/>
      <c r="S45" s="8"/>
      <c r="T45" s="8"/>
      <c r="U45" s="8"/>
      <c r="V45" s="8"/>
      <c r="W45" s="8"/>
      <c r="X45" s="8"/>
      <c r="Y45" s="8"/>
      <c r="Z45" s="8"/>
    </row>
    <row r="46" ht="42.0" customHeight="1">
      <c r="A46" s="9" t="s">
        <v>116</v>
      </c>
      <c r="B46" s="10" t="s">
        <v>107</v>
      </c>
      <c r="C46" s="11">
        <v>46108.0</v>
      </c>
      <c r="D46" s="10" t="s">
        <v>117</v>
      </c>
      <c r="E46" s="12" t="s">
        <v>109</v>
      </c>
      <c r="F46" s="13">
        <v>422.0</v>
      </c>
      <c r="G46" s="14">
        <f>IFERROR(VLOOKUP(B46,Source_Metadata!$A$2:$C$8,3,FALSE),"")</f>
        <v>9</v>
      </c>
      <c r="H46" s="15" t="str">
        <f t="shared" si="1"/>
        <v>Low</v>
      </c>
      <c r="I46" s="16">
        <f t="shared" si="2"/>
        <v>100</v>
      </c>
      <c r="J46" s="17">
        <f t="shared" si="3"/>
        <v>3798</v>
      </c>
      <c r="K46" s="18">
        <f t="shared" si="4"/>
        <v>0.1688</v>
      </c>
      <c r="L46" s="18" t="str">
        <f t="shared" si="5"/>
        <v>Trusted</v>
      </c>
      <c r="M46" s="8"/>
      <c r="N46" s="8"/>
      <c r="O46" s="8"/>
      <c r="P46" s="8"/>
      <c r="Q46" s="8"/>
      <c r="R46" s="8"/>
      <c r="S46" s="8"/>
      <c r="T46" s="8"/>
      <c r="U46" s="8"/>
      <c r="V46" s="8"/>
      <c r="W46" s="8"/>
      <c r="X46" s="8"/>
      <c r="Y46" s="8"/>
      <c r="Z46" s="8"/>
    </row>
    <row r="47" ht="42.0" customHeight="1">
      <c r="A47" s="9" t="s">
        <v>118</v>
      </c>
      <c r="B47" s="10" t="s">
        <v>107</v>
      </c>
      <c r="C47" s="11">
        <v>46109.0</v>
      </c>
      <c r="D47" s="10" t="s">
        <v>119</v>
      </c>
      <c r="E47" s="12" t="s">
        <v>109</v>
      </c>
      <c r="F47" s="13">
        <v>2361.0</v>
      </c>
      <c r="G47" s="14">
        <f>IFERROR(VLOOKUP(B47,Source_Metadata!$A$2:$C$8,3,FALSE),"")</f>
        <v>9</v>
      </c>
      <c r="H47" s="15" t="str">
        <f t="shared" si="1"/>
        <v>High</v>
      </c>
      <c r="I47" s="16">
        <f t="shared" si="2"/>
        <v>90</v>
      </c>
      <c r="J47" s="17">
        <f t="shared" si="3"/>
        <v>21249</v>
      </c>
      <c r="K47" s="18">
        <f t="shared" si="4"/>
        <v>0.9444</v>
      </c>
      <c r="L47" s="18" t="str">
        <f t="shared" si="5"/>
        <v>Trusted</v>
      </c>
      <c r="M47" s="8"/>
      <c r="N47" s="8"/>
      <c r="O47" s="8"/>
      <c r="P47" s="8"/>
      <c r="Q47" s="8"/>
      <c r="R47" s="8"/>
      <c r="S47" s="8"/>
      <c r="T47" s="8"/>
      <c r="U47" s="8"/>
      <c r="V47" s="8"/>
      <c r="W47" s="8"/>
      <c r="X47" s="8"/>
      <c r="Y47" s="8"/>
      <c r="Z47" s="8"/>
    </row>
    <row r="48" ht="42.0" customHeight="1">
      <c r="A48" s="9" t="s">
        <v>120</v>
      </c>
      <c r="B48" s="10" t="s">
        <v>107</v>
      </c>
      <c r="C48" s="11">
        <v>46110.0</v>
      </c>
      <c r="D48" s="10" t="s">
        <v>121</v>
      </c>
      <c r="E48" s="12" t="s">
        <v>109</v>
      </c>
      <c r="F48" s="13">
        <v>1300.0</v>
      </c>
      <c r="G48" s="14">
        <f>IFERROR(VLOOKUP(B48,Source_Metadata!$A$2:$C$8,3,FALSE),"")</f>
        <v>9</v>
      </c>
      <c r="H48" s="15" t="str">
        <f t="shared" si="1"/>
        <v>Medium</v>
      </c>
      <c r="I48" s="16">
        <f t="shared" si="2"/>
        <v>94</v>
      </c>
      <c r="J48" s="17">
        <f t="shared" si="3"/>
        <v>11700</v>
      </c>
      <c r="K48" s="18">
        <f t="shared" si="4"/>
        <v>0.52</v>
      </c>
      <c r="L48" s="18" t="str">
        <f t="shared" si="5"/>
        <v>Trusted</v>
      </c>
      <c r="M48" s="8"/>
      <c r="N48" s="8"/>
      <c r="O48" s="8"/>
      <c r="P48" s="8"/>
      <c r="Q48" s="8"/>
      <c r="R48" s="8"/>
      <c r="S48" s="8"/>
      <c r="T48" s="8"/>
      <c r="U48" s="8"/>
      <c r="V48" s="8"/>
      <c r="W48" s="8"/>
      <c r="X48" s="8"/>
      <c r="Y48" s="8"/>
      <c r="Z48" s="8"/>
    </row>
    <row r="49" ht="42.0" customHeight="1">
      <c r="A49" s="9" t="s">
        <v>122</v>
      </c>
      <c r="B49" s="10" t="s">
        <v>107</v>
      </c>
      <c r="C49" s="11">
        <v>46111.0</v>
      </c>
      <c r="D49" s="10" t="s">
        <v>123</v>
      </c>
      <c r="E49" s="12" t="s">
        <v>109</v>
      </c>
      <c r="F49" s="13">
        <v>1581.0</v>
      </c>
      <c r="G49" s="14">
        <f>IFERROR(VLOOKUP(B49,Source_Metadata!$A$2:$C$8,3,FALSE),"")</f>
        <v>9</v>
      </c>
      <c r="H49" s="15" t="str">
        <f t="shared" si="1"/>
        <v>High</v>
      </c>
      <c r="I49" s="16">
        <f t="shared" si="2"/>
        <v>105</v>
      </c>
      <c r="J49" s="17">
        <f t="shared" si="3"/>
        <v>14229</v>
      </c>
      <c r="K49" s="18">
        <f t="shared" si="4"/>
        <v>0.6324</v>
      </c>
      <c r="L49" s="18" t="str">
        <f t="shared" si="5"/>
        <v>Trusted</v>
      </c>
      <c r="M49" s="8"/>
      <c r="N49" s="8"/>
      <c r="O49" s="8"/>
      <c r="P49" s="8"/>
      <c r="Q49" s="8"/>
      <c r="R49" s="8"/>
      <c r="S49" s="8"/>
      <c r="T49" s="8"/>
      <c r="U49" s="8"/>
      <c r="V49" s="8"/>
      <c r="W49" s="8"/>
      <c r="X49" s="8"/>
      <c r="Y49" s="8"/>
      <c r="Z49" s="8"/>
    </row>
    <row r="50" ht="42.0" customHeight="1">
      <c r="A50" s="9" t="s">
        <v>124</v>
      </c>
      <c r="B50" s="10" t="s">
        <v>107</v>
      </c>
      <c r="C50" s="11">
        <v>46112.0</v>
      </c>
      <c r="D50" s="10" t="s">
        <v>125</v>
      </c>
      <c r="E50" s="12" t="s">
        <v>109</v>
      </c>
      <c r="F50" s="13">
        <v>2464.0</v>
      </c>
      <c r="G50" s="14">
        <f>IFERROR(VLOOKUP(B50,Source_Metadata!$A$2:$C$8,3,FALSE),"")</f>
        <v>9</v>
      </c>
      <c r="H50" s="15" t="str">
        <f t="shared" si="1"/>
        <v>High</v>
      </c>
      <c r="I50" s="16">
        <f t="shared" si="2"/>
        <v>98</v>
      </c>
      <c r="J50" s="17">
        <f t="shared" si="3"/>
        <v>22176</v>
      </c>
      <c r="K50" s="18">
        <f t="shared" si="4"/>
        <v>0.9856</v>
      </c>
      <c r="L50" s="18" t="str">
        <f t="shared" si="5"/>
        <v>Trusted</v>
      </c>
      <c r="M50" s="8"/>
      <c r="N50" s="8"/>
      <c r="O50" s="8"/>
      <c r="P50" s="8"/>
      <c r="Q50" s="8"/>
      <c r="R50" s="8"/>
      <c r="S50" s="8"/>
      <c r="T50" s="8"/>
      <c r="U50" s="8"/>
      <c r="V50" s="8"/>
      <c r="W50" s="8"/>
      <c r="X50" s="8"/>
      <c r="Y50" s="8"/>
      <c r="Z50" s="8"/>
    </row>
    <row r="51" ht="42.0" customHeight="1">
      <c r="A51" s="9" t="s">
        <v>126</v>
      </c>
      <c r="B51" s="10" t="s">
        <v>107</v>
      </c>
      <c r="C51" s="11">
        <v>46113.0</v>
      </c>
      <c r="D51" s="10" t="s">
        <v>127</v>
      </c>
      <c r="E51" s="12" t="s">
        <v>109</v>
      </c>
      <c r="F51" s="13">
        <v>887.0</v>
      </c>
      <c r="G51" s="14">
        <f>IFERROR(VLOOKUP(B51,Source_Metadata!$A$2:$C$8,3,FALSE),"")</f>
        <v>9</v>
      </c>
      <c r="H51" s="15" t="str">
        <f t="shared" si="1"/>
        <v>Medium</v>
      </c>
      <c r="I51" s="16">
        <f t="shared" si="2"/>
        <v>95</v>
      </c>
      <c r="J51" s="17">
        <f t="shared" si="3"/>
        <v>7983</v>
      </c>
      <c r="K51" s="18">
        <f t="shared" si="4"/>
        <v>0.3548</v>
      </c>
      <c r="L51" s="18" t="str">
        <f t="shared" si="5"/>
        <v>Trusted</v>
      </c>
      <c r="M51" s="8"/>
      <c r="N51" s="8"/>
      <c r="O51" s="8"/>
      <c r="P51" s="8"/>
      <c r="Q51" s="8"/>
      <c r="R51" s="8"/>
      <c r="S51" s="8"/>
      <c r="T51" s="8"/>
      <c r="U51" s="8"/>
      <c r="V51" s="8"/>
      <c r="W51" s="8"/>
      <c r="X51" s="8"/>
      <c r="Y51" s="8"/>
      <c r="Z51" s="8"/>
    </row>
    <row r="52" ht="42.0" customHeight="1">
      <c r="A52" s="9" t="s">
        <v>128</v>
      </c>
      <c r="B52" s="10" t="s">
        <v>129</v>
      </c>
      <c r="C52" s="11">
        <v>46114.0</v>
      </c>
      <c r="D52" s="10" t="s">
        <v>130</v>
      </c>
      <c r="E52" s="12" t="s">
        <v>109</v>
      </c>
      <c r="F52" s="13">
        <v>384.0</v>
      </c>
      <c r="G52" s="14">
        <f>IFERROR(VLOOKUP(B52,Source_Metadata!$A$2:$C$8,3,FALSE),"")</f>
        <v>9</v>
      </c>
      <c r="H52" s="15" t="str">
        <f t="shared" si="1"/>
        <v>Low</v>
      </c>
      <c r="I52" s="16">
        <f t="shared" si="2"/>
        <v>92</v>
      </c>
      <c r="J52" s="17">
        <f t="shared" si="3"/>
        <v>3456</v>
      </c>
      <c r="K52" s="18">
        <f t="shared" si="4"/>
        <v>0.1536</v>
      </c>
      <c r="L52" s="18" t="str">
        <f t="shared" si="5"/>
        <v>Trusted</v>
      </c>
      <c r="M52" s="8"/>
      <c r="N52" s="8"/>
      <c r="O52" s="8"/>
      <c r="P52" s="8"/>
      <c r="Q52" s="8"/>
      <c r="R52" s="8"/>
      <c r="S52" s="8"/>
      <c r="T52" s="8"/>
      <c r="U52" s="8"/>
      <c r="V52" s="8"/>
      <c r="W52" s="8"/>
      <c r="X52" s="8"/>
      <c r="Y52" s="8"/>
      <c r="Z52" s="8"/>
    </row>
    <row r="53" ht="42.0" customHeight="1">
      <c r="A53" s="9" t="s">
        <v>131</v>
      </c>
      <c r="B53" s="10" t="s">
        <v>129</v>
      </c>
      <c r="C53" s="11">
        <v>46115.0</v>
      </c>
      <c r="D53" s="10" t="s">
        <v>132</v>
      </c>
      <c r="E53" s="12" t="s">
        <v>109</v>
      </c>
      <c r="F53" s="13">
        <v>287.0</v>
      </c>
      <c r="G53" s="14">
        <f>IFERROR(VLOOKUP(B53,Source_Metadata!$A$2:$C$8,3,FALSE),"")</f>
        <v>9</v>
      </c>
      <c r="H53" s="15" t="str">
        <f t="shared" si="1"/>
        <v>Low</v>
      </c>
      <c r="I53" s="16">
        <f t="shared" si="2"/>
        <v>94</v>
      </c>
      <c r="J53" s="17">
        <f t="shared" si="3"/>
        <v>2583</v>
      </c>
      <c r="K53" s="18">
        <f t="shared" si="4"/>
        <v>0.1148</v>
      </c>
      <c r="L53" s="18" t="str">
        <f t="shared" si="5"/>
        <v>Trusted</v>
      </c>
      <c r="M53" s="8"/>
      <c r="N53" s="8"/>
      <c r="O53" s="8"/>
      <c r="P53" s="8"/>
      <c r="Q53" s="8"/>
      <c r="R53" s="8"/>
      <c r="S53" s="8"/>
      <c r="T53" s="8"/>
      <c r="U53" s="8"/>
      <c r="V53" s="8"/>
      <c r="W53" s="8"/>
      <c r="X53" s="8"/>
      <c r="Y53" s="8"/>
      <c r="Z53" s="8"/>
    </row>
    <row r="54" ht="42.0" customHeight="1">
      <c r="A54" s="9" t="s">
        <v>133</v>
      </c>
      <c r="B54" s="10" t="s">
        <v>129</v>
      </c>
      <c r="C54" s="11">
        <v>46116.0</v>
      </c>
      <c r="D54" s="10" t="s">
        <v>134</v>
      </c>
      <c r="E54" s="12" t="s">
        <v>109</v>
      </c>
      <c r="F54" s="13">
        <v>1033.0</v>
      </c>
      <c r="G54" s="14">
        <f>IFERROR(VLOOKUP(B54,Source_Metadata!$A$2:$C$8,3,FALSE),"")</f>
        <v>9</v>
      </c>
      <c r="H54" s="15" t="str">
        <f t="shared" si="1"/>
        <v>Medium</v>
      </c>
      <c r="I54" s="16">
        <f t="shared" si="2"/>
        <v>93</v>
      </c>
      <c r="J54" s="17">
        <f t="shared" si="3"/>
        <v>9297</v>
      </c>
      <c r="K54" s="18">
        <f t="shared" si="4"/>
        <v>0.4132</v>
      </c>
      <c r="L54" s="18" t="str">
        <f t="shared" si="5"/>
        <v>Trusted</v>
      </c>
      <c r="M54" s="8"/>
      <c r="N54" s="8"/>
      <c r="O54" s="8"/>
      <c r="P54" s="8"/>
      <c r="Q54" s="8"/>
      <c r="R54" s="8"/>
      <c r="S54" s="8"/>
      <c r="T54" s="8"/>
      <c r="U54" s="8"/>
      <c r="V54" s="8"/>
      <c r="W54" s="8"/>
      <c r="X54" s="8"/>
      <c r="Y54" s="8"/>
      <c r="Z54" s="8"/>
    </row>
    <row r="55" ht="42.0" customHeight="1">
      <c r="A55" s="9" t="s">
        <v>135</v>
      </c>
      <c r="B55" s="10" t="s">
        <v>129</v>
      </c>
      <c r="C55" s="11">
        <v>46117.0</v>
      </c>
      <c r="D55" s="10" t="s">
        <v>136</v>
      </c>
      <c r="E55" s="12" t="s">
        <v>109</v>
      </c>
      <c r="F55" s="13">
        <v>1285.0</v>
      </c>
      <c r="G55" s="14">
        <f>IFERROR(VLOOKUP(B55,Source_Metadata!$A$2:$C$8,3,FALSE),"")</f>
        <v>9</v>
      </c>
      <c r="H55" s="15" t="str">
        <f t="shared" si="1"/>
        <v>Medium</v>
      </c>
      <c r="I55" s="16">
        <f t="shared" si="2"/>
        <v>99</v>
      </c>
      <c r="J55" s="17">
        <f t="shared" si="3"/>
        <v>11565</v>
      </c>
      <c r="K55" s="18">
        <f t="shared" si="4"/>
        <v>0.514</v>
      </c>
      <c r="L55" s="18" t="str">
        <f t="shared" si="5"/>
        <v>Trusted</v>
      </c>
      <c r="M55" s="8"/>
      <c r="N55" s="8"/>
      <c r="O55" s="8"/>
      <c r="P55" s="8"/>
      <c r="Q55" s="8"/>
      <c r="R55" s="8"/>
      <c r="S55" s="8"/>
      <c r="T55" s="8"/>
      <c r="U55" s="8"/>
      <c r="V55" s="8"/>
      <c r="W55" s="8"/>
      <c r="X55" s="8"/>
      <c r="Y55" s="8"/>
      <c r="Z55" s="8"/>
    </row>
    <row r="56" ht="42.0" customHeight="1">
      <c r="A56" s="9" t="s">
        <v>137</v>
      </c>
      <c r="B56" s="10" t="s">
        <v>129</v>
      </c>
      <c r="C56" s="11">
        <v>46118.0</v>
      </c>
      <c r="D56" s="10" t="s">
        <v>138</v>
      </c>
      <c r="E56" s="12" t="s">
        <v>109</v>
      </c>
      <c r="F56" s="13">
        <v>426.0</v>
      </c>
      <c r="G56" s="14">
        <f>IFERROR(VLOOKUP(B56,Source_Metadata!$A$2:$C$8,3,FALSE),"")</f>
        <v>9</v>
      </c>
      <c r="H56" s="15" t="str">
        <f t="shared" si="1"/>
        <v>Low</v>
      </c>
      <c r="I56" s="16">
        <f t="shared" si="2"/>
        <v>102</v>
      </c>
      <c r="J56" s="17">
        <f t="shared" si="3"/>
        <v>3834</v>
      </c>
      <c r="K56" s="18">
        <f t="shared" si="4"/>
        <v>0.1704</v>
      </c>
      <c r="L56" s="18" t="str">
        <f t="shared" si="5"/>
        <v>Trusted</v>
      </c>
      <c r="M56" s="8"/>
      <c r="N56" s="8"/>
      <c r="O56" s="8"/>
      <c r="P56" s="8"/>
      <c r="Q56" s="8"/>
      <c r="R56" s="8"/>
      <c r="S56" s="8"/>
      <c r="T56" s="8"/>
      <c r="U56" s="8"/>
      <c r="V56" s="8"/>
      <c r="W56" s="8"/>
      <c r="X56" s="8"/>
      <c r="Y56" s="8"/>
      <c r="Z56" s="8"/>
    </row>
    <row r="57" ht="42.0" customHeight="1">
      <c r="A57" s="9" t="s">
        <v>139</v>
      </c>
      <c r="B57" s="10" t="s">
        <v>129</v>
      </c>
      <c r="C57" s="11">
        <v>46119.0</v>
      </c>
      <c r="D57" s="10" t="s">
        <v>140</v>
      </c>
      <c r="E57" s="12" t="s">
        <v>109</v>
      </c>
      <c r="F57" s="13">
        <v>1053.0</v>
      </c>
      <c r="G57" s="14">
        <f>IFERROR(VLOOKUP(B57,Source_Metadata!$A$2:$C$8,3,FALSE),"")</f>
        <v>9</v>
      </c>
      <c r="H57" s="15" t="str">
        <f t="shared" si="1"/>
        <v>Medium</v>
      </c>
      <c r="I57" s="16">
        <f t="shared" si="2"/>
        <v>97</v>
      </c>
      <c r="J57" s="17">
        <f t="shared" si="3"/>
        <v>9477</v>
      </c>
      <c r="K57" s="18">
        <f t="shared" si="4"/>
        <v>0.4212</v>
      </c>
      <c r="L57" s="18" t="str">
        <f t="shared" si="5"/>
        <v>Trusted</v>
      </c>
      <c r="M57" s="8"/>
      <c r="N57" s="8"/>
      <c r="O57" s="8"/>
      <c r="P57" s="8"/>
      <c r="Q57" s="8"/>
      <c r="R57" s="8"/>
      <c r="S57" s="8"/>
      <c r="T57" s="8"/>
      <c r="U57" s="8"/>
      <c r="V57" s="8"/>
      <c r="W57" s="8"/>
      <c r="X57" s="8"/>
      <c r="Y57" s="8"/>
      <c r="Z57" s="8"/>
    </row>
    <row r="58" ht="42.0" customHeight="1">
      <c r="A58" s="9" t="s">
        <v>141</v>
      </c>
      <c r="B58" s="10" t="s">
        <v>107</v>
      </c>
      <c r="C58" s="11">
        <v>46120.0</v>
      </c>
      <c r="D58" s="10" t="s">
        <v>142</v>
      </c>
      <c r="E58" s="12" t="s">
        <v>109</v>
      </c>
      <c r="F58" s="13">
        <v>513.0</v>
      </c>
      <c r="G58" s="14">
        <f>IFERROR(VLOOKUP(B58,Source_Metadata!$A$2:$C$8,3,FALSE),"")</f>
        <v>9</v>
      </c>
      <c r="H58" s="15" t="str">
        <f t="shared" si="1"/>
        <v>Medium</v>
      </c>
      <c r="I58" s="16">
        <f t="shared" si="2"/>
        <v>95</v>
      </c>
      <c r="J58" s="17">
        <f t="shared" si="3"/>
        <v>4617</v>
      </c>
      <c r="K58" s="18">
        <f t="shared" si="4"/>
        <v>0.2052</v>
      </c>
      <c r="L58" s="18" t="str">
        <f t="shared" si="5"/>
        <v>Trusted</v>
      </c>
      <c r="M58" s="8"/>
      <c r="N58" s="8"/>
      <c r="O58" s="8"/>
      <c r="P58" s="8"/>
      <c r="Q58" s="8"/>
      <c r="R58" s="8"/>
      <c r="S58" s="8"/>
      <c r="T58" s="8"/>
      <c r="U58" s="8"/>
      <c r="V58" s="8"/>
      <c r="W58" s="8"/>
      <c r="X58" s="8"/>
      <c r="Y58" s="8"/>
      <c r="Z58" s="8"/>
    </row>
    <row r="59" ht="42.0" customHeight="1">
      <c r="A59" s="9" t="s">
        <v>143</v>
      </c>
      <c r="B59" s="10" t="s">
        <v>129</v>
      </c>
      <c r="C59" s="11">
        <v>46121.0</v>
      </c>
      <c r="D59" s="10" t="s">
        <v>144</v>
      </c>
      <c r="E59" s="12" t="s">
        <v>109</v>
      </c>
      <c r="F59" s="13">
        <v>1656.0</v>
      </c>
      <c r="G59" s="14">
        <f>IFERROR(VLOOKUP(B59,Source_Metadata!$A$2:$C$8,3,FALSE),"")</f>
        <v>9</v>
      </c>
      <c r="H59" s="15" t="str">
        <f t="shared" si="1"/>
        <v>High</v>
      </c>
      <c r="I59" s="16">
        <f t="shared" si="2"/>
        <v>104</v>
      </c>
      <c r="J59" s="17">
        <f t="shared" si="3"/>
        <v>14904</v>
      </c>
      <c r="K59" s="18">
        <f t="shared" si="4"/>
        <v>0.6624</v>
      </c>
      <c r="L59" s="18" t="str">
        <f t="shared" si="5"/>
        <v>Trusted</v>
      </c>
      <c r="M59" s="8"/>
      <c r="N59" s="8"/>
      <c r="O59" s="8"/>
      <c r="P59" s="8"/>
      <c r="Q59" s="8"/>
      <c r="R59" s="8"/>
      <c r="S59" s="8"/>
      <c r="T59" s="8"/>
      <c r="U59" s="8"/>
      <c r="V59" s="8"/>
      <c r="W59" s="8"/>
      <c r="X59" s="8"/>
      <c r="Y59" s="8"/>
      <c r="Z59" s="8"/>
    </row>
    <row r="60" ht="42.0" customHeight="1">
      <c r="A60" s="9" t="s">
        <v>145</v>
      </c>
      <c r="B60" s="10" t="s">
        <v>129</v>
      </c>
      <c r="C60" s="11">
        <v>46122.0</v>
      </c>
      <c r="D60" s="10" t="s">
        <v>146</v>
      </c>
      <c r="E60" s="12" t="s">
        <v>109</v>
      </c>
      <c r="F60" s="13">
        <v>1238.0</v>
      </c>
      <c r="G60" s="14">
        <f>IFERROR(VLOOKUP(B60,Source_Metadata!$A$2:$C$8,3,FALSE),"")</f>
        <v>9</v>
      </c>
      <c r="H60" s="15" t="str">
        <f t="shared" si="1"/>
        <v>Medium</v>
      </c>
      <c r="I60" s="16">
        <f t="shared" si="2"/>
        <v>90</v>
      </c>
      <c r="J60" s="17">
        <f t="shared" si="3"/>
        <v>11142</v>
      </c>
      <c r="K60" s="18">
        <f t="shared" si="4"/>
        <v>0.4952</v>
      </c>
      <c r="L60" s="18" t="str">
        <f t="shared" si="5"/>
        <v>Trusted</v>
      </c>
      <c r="M60" s="8"/>
      <c r="N60" s="8"/>
      <c r="O60" s="8"/>
      <c r="P60" s="8"/>
      <c r="Q60" s="8"/>
      <c r="R60" s="8"/>
      <c r="S60" s="8"/>
      <c r="T60" s="8"/>
      <c r="U60" s="8"/>
      <c r="V60" s="8"/>
      <c r="W60" s="8"/>
      <c r="X60" s="8"/>
      <c r="Y60" s="8"/>
      <c r="Z60" s="8"/>
    </row>
    <row r="61" ht="42.0" customHeight="1">
      <c r="A61" s="9" t="s">
        <v>147</v>
      </c>
      <c r="B61" s="10" t="s">
        <v>107</v>
      </c>
      <c r="C61" s="11">
        <v>46123.0</v>
      </c>
      <c r="D61" s="10" t="s">
        <v>148</v>
      </c>
      <c r="E61" s="12" t="s">
        <v>109</v>
      </c>
      <c r="F61" s="13">
        <v>1957.0</v>
      </c>
      <c r="G61" s="14">
        <f>IFERROR(VLOOKUP(B61,Source_Metadata!$A$2:$C$8,3,FALSE),"")</f>
        <v>9</v>
      </c>
      <c r="H61" s="15" t="str">
        <f t="shared" si="1"/>
        <v>High</v>
      </c>
      <c r="I61" s="16">
        <f t="shared" si="2"/>
        <v>101</v>
      </c>
      <c r="J61" s="17">
        <f t="shared" si="3"/>
        <v>17613</v>
      </c>
      <c r="K61" s="18">
        <f t="shared" si="4"/>
        <v>0.7828</v>
      </c>
      <c r="L61" s="18" t="str">
        <f t="shared" si="5"/>
        <v>Trusted</v>
      </c>
      <c r="M61" s="8"/>
      <c r="N61" s="8"/>
      <c r="O61" s="8"/>
      <c r="P61" s="8"/>
      <c r="Q61" s="8"/>
      <c r="R61" s="8"/>
      <c r="S61" s="8"/>
      <c r="T61" s="8"/>
      <c r="U61" s="8"/>
      <c r="V61" s="8"/>
      <c r="W61" s="8"/>
      <c r="X61" s="8"/>
      <c r="Y61" s="8"/>
      <c r="Z61" s="8"/>
    </row>
    <row r="62" ht="13.5" customHeight="1">
      <c r="A62" s="19"/>
      <c r="B62" s="19"/>
      <c r="C62" s="19"/>
      <c r="D62" s="19"/>
      <c r="E62" s="19"/>
      <c r="F62" s="19"/>
      <c r="G62" s="19"/>
      <c r="H62" s="19"/>
      <c r="I62" s="8"/>
      <c r="J62" s="8"/>
      <c r="K62" s="8"/>
      <c r="L62" s="8"/>
      <c r="M62" s="8"/>
      <c r="N62" s="8"/>
      <c r="O62" s="8"/>
      <c r="P62" s="8"/>
      <c r="Q62" s="8"/>
      <c r="R62" s="8"/>
      <c r="S62" s="8"/>
      <c r="T62" s="8"/>
      <c r="U62" s="8"/>
      <c r="V62" s="8"/>
      <c r="W62" s="8"/>
      <c r="X62" s="8"/>
      <c r="Y62" s="8"/>
      <c r="Z62" s="8"/>
    </row>
    <row r="63" ht="13.5" customHeight="1">
      <c r="A63" s="19"/>
      <c r="B63" s="19"/>
      <c r="C63" s="19"/>
      <c r="D63" s="19"/>
      <c r="E63" s="19"/>
      <c r="F63" s="19"/>
      <c r="G63" s="19"/>
      <c r="H63" s="19"/>
      <c r="I63" s="8"/>
      <c r="J63" s="8"/>
      <c r="K63" s="8"/>
      <c r="L63" s="8"/>
      <c r="M63" s="8"/>
      <c r="N63" s="8"/>
      <c r="O63" s="8"/>
      <c r="P63" s="8"/>
      <c r="Q63" s="8"/>
      <c r="R63" s="8"/>
      <c r="S63" s="8"/>
      <c r="T63" s="8"/>
      <c r="U63" s="8"/>
      <c r="V63" s="8"/>
      <c r="W63" s="8"/>
      <c r="X63" s="8"/>
      <c r="Y63" s="8"/>
      <c r="Z63" s="8"/>
    </row>
    <row r="64" ht="14.25" customHeight="1">
      <c r="A64" s="20"/>
      <c r="B64" s="19"/>
      <c r="C64" s="19"/>
      <c r="D64" s="19"/>
      <c r="E64" s="19"/>
      <c r="F64" s="19"/>
      <c r="G64" s="19"/>
      <c r="H64" s="19"/>
      <c r="I64" s="8"/>
      <c r="J64" s="8"/>
      <c r="K64" s="8"/>
      <c r="L64" s="8"/>
      <c r="M64" s="8"/>
      <c r="N64" s="8"/>
      <c r="O64" s="8"/>
      <c r="P64" s="8"/>
      <c r="Q64" s="8"/>
      <c r="R64" s="8"/>
      <c r="S64" s="8"/>
      <c r="T64" s="8"/>
      <c r="U64" s="8"/>
      <c r="V64" s="8"/>
      <c r="W64" s="8"/>
      <c r="X64" s="8"/>
      <c r="Y64" s="8"/>
      <c r="Z64" s="8"/>
    </row>
    <row r="65" ht="13.5" customHeight="1">
      <c r="A65" s="21"/>
      <c r="B65" s="22"/>
      <c r="C65" s="19"/>
      <c r="D65" s="19"/>
      <c r="E65" s="19"/>
      <c r="F65" s="19"/>
      <c r="G65" s="19"/>
      <c r="H65" s="19"/>
      <c r="I65" s="8"/>
      <c r="J65" s="8"/>
      <c r="K65" s="8"/>
      <c r="L65" s="8"/>
      <c r="M65" s="8"/>
      <c r="N65" s="8"/>
      <c r="O65" s="8"/>
      <c r="P65" s="8"/>
      <c r="Q65" s="8"/>
      <c r="R65" s="8"/>
      <c r="S65" s="8"/>
      <c r="T65" s="8"/>
      <c r="U65" s="8"/>
      <c r="V65" s="8"/>
      <c r="W65" s="8"/>
      <c r="X65" s="8"/>
      <c r="Y65" s="8"/>
      <c r="Z65" s="8"/>
    </row>
    <row r="66" ht="13.5" customHeight="1">
      <c r="A66" s="21"/>
      <c r="B66" s="21"/>
      <c r="C66" s="19"/>
      <c r="D66" s="19"/>
      <c r="E66" s="19"/>
      <c r="F66" s="19"/>
      <c r="G66" s="19"/>
      <c r="H66" s="19"/>
      <c r="I66" s="8"/>
      <c r="J66" s="8"/>
      <c r="K66" s="8"/>
      <c r="L66" s="8"/>
      <c r="M66" s="8"/>
      <c r="N66" s="8"/>
      <c r="O66" s="8"/>
      <c r="P66" s="8"/>
      <c r="Q66" s="8"/>
      <c r="R66" s="8"/>
      <c r="S66" s="8"/>
      <c r="T66" s="8"/>
      <c r="U66" s="8"/>
      <c r="V66" s="8"/>
      <c r="W66" s="8"/>
      <c r="X66" s="8"/>
      <c r="Y66" s="8"/>
      <c r="Z66" s="8"/>
    </row>
    <row r="67" ht="13.5" customHeight="1">
      <c r="A67" s="23"/>
      <c r="B67" s="19"/>
      <c r="C67" s="19"/>
      <c r="D67" s="19"/>
      <c r="E67" s="19"/>
      <c r="F67" s="19"/>
      <c r="G67" s="19"/>
      <c r="H67" s="19"/>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autoFilter ref="$A$1:$H$61"/>
  <printOptions/>
  <pageMargins bottom="1.0" footer="0.0" header="0.0" left="0.75" right="0.75"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12.0"/>
    <col customWidth="1" min="3" max="3" width="14.0"/>
    <col customWidth="1" min="4" max="4" width="26.0"/>
    <col customWidth="1" min="5" max="26" width="8.71"/>
  </cols>
  <sheetData>
    <row r="1" ht="30.0" customHeight="1">
      <c r="A1" s="24" t="s">
        <v>8</v>
      </c>
      <c r="B1" s="24" t="s">
        <v>149</v>
      </c>
      <c r="C1" s="24" t="s">
        <v>150</v>
      </c>
      <c r="D1" s="24" t="s">
        <v>151</v>
      </c>
      <c r="E1" s="25"/>
      <c r="F1" s="26"/>
      <c r="G1" s="26"/>
      <c r="H1" s="26"/>
      <c r="I1" s="26"/>
      <c r="J1" s="26"/>
      <c r="K1" s="26"/>
      <c r="L1" s="26"/>
      <c r="M1" s="26"/>
      <c r="N1" s="26"/>
      <c r="O1" s="26"/>
      <c r="P1" s="26"/>
      <c r="Q1" s="26"/>
      <c r="R1" s="26"/>
      <c r="S1" s="26"/>
      <c r="T1" s="26"/>
      <c r="U1" s="26"/>
      <c r="V1" s="26"/>
      <c r="W1" s="26"/>
      <c r="X1" s="26"/>
      <c r="Y1" s="26"/>
      <c r="Z1" s="26"/>
    </row>
    <row r="2" ht="13.5" customHeight="1">
      <c r="A2" s="27" t="s">
        <v>20</v>
      </c>
      <c r="B2" s="28" t="s">
        <v>152</v>
      </c>
      <c r="C2" s="29">
        <v>8.0</v>
      </c>
      <c r="D2" s="27" t="s">
        <v>153</v>
      </c>
      <c r="E2" s="25"/>
      <c r="F2" s="26"/>
      <c r="G2" s="26"/>
      <c r="H2" s="26"/>
      <c r="I2" s="26"/>
      <c r="J2" s="26"/>
      <c r="K2" s="26"/>
      <c r="L2" s="26"/>
      <c r="M2" s="26"/>
      <c r="N2" s="26"/>
      <c r="O2" s="26"/>
      <c r="P2" s="26"/>
      <c r="Q2" s="26"/>
      <c r="R2" s="26"/>
      <c r="S2" s="26"/>
      <c r="T2" s="26"/>
      <c r="U2" s="26"/>
      <c r="V2" s="26"/>
      <c r="W2" s="26"/>
      <c r="X2" s="26"/>
      <c r="Y2" s="26"/>
      <c r="Z2" s="26"/>
    </row>
    <row r="3" ht="13.5" customHeight="1">
      <c r="A3" s="30" t="s">
        <v>44</v>
      </c>
      <c r="B3" s="31" t="s">
        <v>152</v>
      </c>
      <c r="C3" s="32">
        <v>8.0</v>
      </c>
      <c r="D3" s="30" t="s">
        <v>153</v>
      </c>
      <c r="E3" s="25"/>
      <c r="F3" s="26"/>
      <c r="G3" s="26"/>
      <c r="H3" s="26"/>
      <c r="I3" s="26"/>
      <c r="J3" s="26"/>
      <c r="K3" s="26"/>
      <c r="L3" s="26"/>
      <c r="M3" s="26"/>
      <c r="N3" s="26"/>
      <c r="O3" s="26"/>
      <c r="P3" s="26"/>
      <c r="Q3" s="26"/>
      <c r="R3" s="26"/>
      <c r="S3" s="26"/>
      <c r="T3" s="26"/>
      <c r="U3" s="26"/>
      <c r="V3" s="26"/>
      <c r="W3" s="26"/>
      <c r="X3" s="26"/>
      <c r="Y3" s="26"/>
      <c r="Z3" s="26"/>
    </row>
    <row r="4" ht="13.5" customHeight="1">
      <c r="A4" s="27" t="s">
        <v>63</v>
      </c>
      <c r="B4" s="28" t="s">
        <v>154</v>
      </c>
      <c r="C4" s="29">
        <v>9.0</v>
      </c>
      <c r="D4" s="27" t="s">
        <v>155</v>
      </c>
      <c r="E4" s="25"/>
      <c r="F4" s="26"/>
      <c r="G4" s="26"/>
      <c r="H4" s="26"/>
      <c r="I4" s="26"/>
      <c r="J4" s="26"/>
      <c r="K4" s="26"/>
      <c r="L4" s="26"/>
      <c r="M4" s="26"/>
      <c r="N4" s="26"/>
      <c r="O4" s="26"/>
      <c r="P4" s="26"/>
      <c r="Q4" s="26"/>
      <c r="R4" s="26"/>
      <c r="S4" s="26"/>
      <c r="T4" s="26"/>
      <c r="U4" s="26"/>
      <c r="V4" s="26"/>
      <c r="W4" s="26"/>
      <c r="X4" s="26"/>
      <c r="Y4" s="26"/>
      <c r="Z4" s="26"/>
    </row>
    <row r="5" ht="13.5" customHeight="1">
      <c r="A5" s="30" t="s">
        <v>73</v>
      </c>
      <c r="B5" s="31" t="s">
        <v>152</v>
      </c>
      <c r="C5" s="32">
        <v>9.0</v>
      </c>
      <c r="D5" s="30" t="s">
        <v>156</v>
      </c>
      <c r="E5" s="25"/>
      <c r="F5" s="26"/>
      <c r="G5" s="26"/>
      <c r="H5" s="26"/>
      <c r="I5" s="26"/>
      <c r="J5" s="26"/>
      <c r="K5" s="26"/>
      <c r="L5" s="26"/>
      <c r="M5" s="26"/>
      <c r="N5" s="26"/>
      <c r="O5" s="26"/>
      <c r="P5" s="26"/>
      <c r="Q5" s="26"/>
      <c r="R5" s="26"/>
      <c r="S5" s="26"/>
      <c r="T5" s="26"/>
      <c r="U5" s="26"/>
      <c r="V5" s="26"/>
      <c r="W5" s="26"/>
      <c r="X5" s="26"/>
      <c r="Y5" s="26"/>
      <c r="Z5" s="26"/>
    </row>
    <row r="6" ht="13.5" customHeight="1">
      <c r="A6" s="27" t="s">
        <v>84</v>
      </c>
      <c r="B6" s="28" t="s">
        <v>154</v>
      </c>
      <c r="C6" s="29">
        <v>8.0</v>
      </c>
      <c r="D6" s="27" t="s">
        <v>157</v>
      </c>
      <c r="E6" s="25"/>
      <c r="F6" s="26"/>
      <c r="G6" s="26"/>
      <c r="H6" s="26"/>
      <c r="I6" s="26"/>
      <c r="J6" s="26"/>
      <c r="K6" s="26"/>
      <c r="L6" s="26"/>
      <c r="M6" s="26"/>
      <c r="N6" s="26"/>
      <c r="O6" s="26"/>
      <c r="P6" s="26"/>
      <c r="Q6" s="26"/>
      <c r="R6" s="26"/>
      <c r="S6" s="26"/>
      <c r="T6" s="26"/>
      <c r="U6" s="26"/>
      <c r="V6" s="26"/>
      <c r="W6" s="26"/>
      <c r="X6" s="26"/>
      <c r="Y6" s="26"/>
      <c r="Z6" s="26"/>
    </row>
    <row r="7" ht="13.5" customHeight="1">
      <c r="A7" s="30" t="s">
        <v>129</v>
      </c>
      <c r="B7" s="31" t="s">
        <v>158</v>
      </c>
      <c r="C7" s="32">
        <v>9.0</v>
      </c>
      <c r="D7" s="30" t="s">
        <v>159</v>
      </c>
      <c r="E7" s="25"/>
      <c r="F7" s="26"/>
      <c r="G7" s="26"/>
      <c r="H7" s="26"/>
      <c r="I7" s="26"/>
      <c r="J7" s="26"/>
      <c r="K7" s="26"/>
      <c r="L7" s="26"/>
      <c r="M7" s="26"/>
      <c r="N7" s="26"/>
      <c r="O7" s="26"/>
      <c r="P7" s="26"/>
      <c r="Q7" s="26"/>
      <c r="R7" s="26"/>
      <c r="S7" s="26"/>
      <c r="T7" s="26"/>
      <c r="U7" s="26"/>
      <c r="V7" s="26"/>
      <c r="W7" s="26"/>
      <c r="X7" s="26"/>
      <c r="Y7" s="26"/>
      <c r="Z7" s="26"/>
    </row>
    <row r="8" ht="13.5" customHeight="1">
      <c r="A8" s="27" t="s">
        <v>107</v>
      </c>
      <c r="B8" s="28" t="s">
        <v>160</v>
      </c>
      <c r="C8" s="29">
        <v>9.0</v>
      </c>
      <c r="D8" s="27" t="s">
        <v>156</v>
      </c>
      <c r="E8" s="25"/>
      <c r="F8" s="26"/>
      <c r="G8" s="26"/>
      <c r="H8" s="26"/>
      <c r="I8" s="26"/>
      <c r="J8" s="26"/>
      <c r="K8" s="26"/>
      <c r="L8" s="26"/>
      <c r="M8" s="26"/>
      <c r="N8" s="26"/>
      <c r="O8" s="26"/>
      <c r="P8" s="26"/>
      <c r="Q8" s="26"/>
      <c r="R8" s="26"/>
      <c r="S8" s="26"/>
      <c r="T8" s="26"/>
      <c r="U8" s="26"/>
      <c r="V8" s="26"/>
      <c r="W8" s="26"/>
      <c r="X8" s="26"/>
      <c r="Y8" s="26"/>
      <c r="Z8" s="26"/>
    </row>
    <row r="9" ht="13.5" customHeight="1">
      <c r="A9" s="33"/>
      <c r="B9" s="33"/>
      <c r="C9" s="33"/>
      <c r="D9" s="33"/>
      <c r="E9" s="34"/>
      <c r="F9" s="26"/>
      <c r="G9" s="26"/>
      <c r="H9" s="26"/>
      <c r="I9" s="26"/>
      <c r="J9" s="26"/>
      <c r="K9" s="26"/>
      <c r="L9" s="26"/>
      <c r="M9" s="26"/>
      <c r="N9" s="26"/>
      <c r="O9" s="26"/>
      <c r="P9" s="26"/>
      <c r="Q9" s="26"/>
      <c r="R9" s="26"/>
      <c r="S9" s="26"/>
      <c r="T9" s="26"/>
      <c r="U9" s="26"/>
      <c r="V9" s="26"/>
      <c r="W9" s="26"/>
      <c r="X9" s="26"/>
      <c r="Y9" s="26"/>
      <c r="Z9" s="26"/>
    </row>
    <row r="10" ht="13.5" customHeight="1">
      <c r="A10" s="35"/>
      <c r="B10" s="35"/>
      <c r="C10" s="35"/>
      <c r="D10" s="35"/>
      <c r="E10" s="34"/>
      <c r="F10" s="26"/>
      <c r="G10" s="26"/>
      <c r="H10" s="26"/>
      <c r="I10" s="26"/>
      <c r="J10" s="26"/>
      <c r="K10" s="26"/>
      <c r="L10" s="26"/>
      <c r="M10" s="26"/>
      <c r="N10" s="26"/>
      <c r="O10" s="26"/>
      <c r="P10" s="26"/>
      <c r="Q10" s="26"/>
      <c r="R10" s="26"/>
      <c r="S10" s="26"/>
      <c r="T10" s="26"/>
      <c r="U10" s="26"/>
      <c r="V10" s="26"/>
      <c r="W10" s="26"/>
      <c r="X10" s="26"/>
      <c r="Y10" s="26"/>
      <c r="Z10" s="26"/>
    </row>
    <row r="1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5.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5.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5.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5.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5.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5.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5.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5.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5.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5.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5.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5.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5.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5.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5.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5.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5.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5.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5.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5.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5.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5.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5.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5.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printOptions/>
  <pageMargins bottom="1.0" footer="0.0" header="0.0" left="0.75" right="0.75"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3.14"/>
    <col customWidth="1" min="2" max="2" width="28.57"/>
  </cols>
  <sheetData>
    <row r="1"/>
    <row r="2"/>
    <row r="3"/>
    <row r="4"/>
    <row r="5"/>
  </sheetData>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